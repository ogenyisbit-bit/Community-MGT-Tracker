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Topline details " sheetId="2" r:id="rId6"/>
    <sheet state="visible" name="Weekly Metrics" sheetId="3" r:id="rId7"/>
    <sheet state="visible" name="Publishing Calendar UG" sheetId="4" r:id="rId8"/>
    <sheet state="visible" name="Publishing Calendar - Ghana" sheetId="5" r:id="rId9"/>
    <sheet state="visible" name="Publishing Calendar - Nigeria" sheetId="6" r:id="rId10"/>
    <sheet state="visible" name="Publishing Calendar - Zambia" sheetId="7" r:id="rId11"/>
    <sheet state="hidden" name="Publishing Tracking" sheetId="8" r:id="rId12"/>
    <sheet state="hidden" name="Community Work Plan - Uganda " sheetId="9" r:id="rId13"/>
    <sheet state="hidden" name="Community Work Plan - Ghana" sheetId="10" r:id="rId14"/>
    <sheet state="hidden" name="Community Work Plan - Nigeria" sheetId="11" r:id="rId15"/>
    <sheet state="hidden" name="Community Work Plan - Zambia " sheetId="12" r:id="rId16"/>
    <sheet state="hidden" name="Offline Activities " sheetId="13" r:id="rId17"/>
    <sheet state="hidden" name="Kla Weekly Metrics" sheetId="14" r:id="rId18"/>
    <sheet state="hidden" name="Kla - Monthly Metrics " sheetId="15" r:id="rId19"/>
    <sheet state="hidden" name="Retention - Executions" sheetId="16" r:id="rId20"/>
    <sheet state="hidden" name="Learnings - Feedback" sheetId="17" r:id="rId21"/>
    <sheet state="hidden" name="Execution - Drive " sheetId="18" r:id="rId22"/>
  </sheets>
  <definedNames>
    <definedName hidden="1" localSheetId="5" name="_xlnm._FilterDatabase">'Publishing Calendar - Nigeria'!$B$1:$B$1006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tc={c995e6aa-1f84-4803-9e3e-ef996d8c1138}</author>
  </authors>
  <commentList>
    <comment authorId="0" xr:uid="{c995e6aa-1f84-4803-9e3e-ef996d8c1138}" ref="E92">
      <text>
        <t xml:space="preserve">[Threaded comment]
 Your version of Excel allows you to read this threaded comment; however, any edits to it will get removed if the file is opened in a newer version of Excel. Learn more: https://go.microsoft.com/fwlink/?linkid=870924
Comment:
	Hi Raymond, we might need little more light on this if possible please. are we designing the next fixtures for the top 4 teams on the respective tables or next top two fixtures on each league(that makes 4 teams)?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tc={7868d5a0-cd40-4a16-b645-deeccc9477a4}</author>
    <author>tc={a5dc747c-1ddc-4f3c-b4a1-047bdfbccf21}</author>
  </authors>
  <commentList>
    <comment authorId="0" xr:uid="{7868d5a0-cd40-4a16-b645-deeccc9477a4}" ref="D4">
      <text>
        <t xml:space="preserve">[Threaded comment]
 Your version of Excel allows you to read this threaded comment; however, any edits to it will get removed if the file is opened in a newer version of Excel. Learn more: https://go.microsoft.com/fwlink/?linkid=870924
Comment:
	Had to let of the community manager for Uganda due to no delivery - have a replacement kicking off 1st septmeber,2024
</t>
      </text>
    </comment>
    <comment authorId="1" xr:uid="{a5dc747c-1ddc-4f3c-b4a1-047bdfbccf21}" ref="D14">
      <text>
        <t xml:space="preserve">[Threaded comment]
 Your version of Excel allows you to read this threaded comment; however, any edits to it will get removed if the file is opened in a newer version of Excel. Learn more: https://go.microsoft.com/fwlink/?linkid=870924
Comment:
	We had issues with the Whatsapp fan group ban but is resolved and the talent is set to kick off 1st sep, 2024.
</t>
      </text>
    </comment>
  </commentList>
</comments>
</file>

<file path=xl/sharedStrings.xml><?xml version="1.0" encoding="utf-8"?>
<sst xmlns="http://schemas.openxmlformats.org/spreadsheetml/2006/main" count="1976" uniqueCount="602">
  <si>
    <t>Community Insights and Trends</t>
  </si>
  <si>
    <t>Date</t>
  </si>
  <si>
    <t>Timestamp</t>
  </si>
  <si>
    <t>Country</t>
  </si>
  <si>
    <t>WhatsApp:</t>
  </si>
  <si>
    <t>- Engagement rate: 20% - 30% (higher than average due to personalized content)</t>
  </si>
  <si>
    <t>Day</t>
  </si>
  <si>
    <t>Community Manager's Name</t>
  </si>
  <si>
    <t>Platform</t>
  </si>
  <si>
    <t>Content Type</t>
  </si>
  <si>
    <t>Post Description</t>
  </si>
  <si>
    <t>Content Creator</t>
  </si>
  <si>
    <t>Status</t>
  </si>
  <si>
    <t>Artwork Type</t>
  </si>
  <si>
    <t>Approval Date</t>
  </si>
  <si>
    <t>Publishing Time</t>
  </si>
  <si>
    <t>Link to Content</t>
  </si>
  <si>
    <t>Media File Link</t>
  </si>
  <si>
    <t>Notes</t>
  </si>
  <si>
    <t>Key Message</t>
  </si>
  <si>
    <t>Thursday 15th August</t>
  </si>
  <si>
    <t>Reference Material: (Link to reference if possible)</t>
  </si>
  <si>
    <t>KPIs</t>
  </si>
  <si>
    <t>Deadline: (Expected Date of delivery)</t>
  </si>
  <si>
    <t>Thursday</t>
  </si>
  <si>
    <t>Whatsapp &amp; Telegram</t>
  </si>
  <si>
    <t>Video</t>
  </si>
  <si>
    <t xml:space="preserve">Status of Delivery </t>
  </si>
  <si>
    <t>- Average group size: 200 - 500 members</t>
  </si>
  <si>
    <t>- Most popular content types:</t>
  </si>
  <si>
    <t>- Sports updates (60% engagement)</t>
  </si>
  <si>
    <t>- Promotions and offers (40% engagement)</t>
  </si>
  <si>
    <t>- News and updates (30% engagement)</t>
  </si>
  <si>
    <t>Top-performing groups:</t>
  </si>
  <si>
    <t>Monday</t>
  </si>
  <si>
    <t>- Sports Fanatics (300 members, 35% engagement)</t>
  </si>
  <si>
    <t>- Betters United(250 members, 28% engagement)</t>
  </si>
  <si>
    <t>Telegram:</t>
  </si>
  <si>
    <t>Link to Artwork - GoldPari  - Artwork Delivery Drive</t>
  </si>
  <si>
    <t>-Engagement rate: 15% - 25% (lower than WhatsApp due to broader audience)</t>
  </si>
  <si>
    <t>-Average channel size: 1,000 - 5,000 subscribers</t>
  </si>
  <si>
    <t>-Most popular content types:</t>
  </si>
  <si>
    <t>-Infographics (50% engagement)</t>
  </si>
  <si>
    <t>-Short videos (40% engagement)</t>
  </si>
  <si>
    <t>Top-performing channels:</t>
  </si>
  <si>
    <t>- Sports Insider (3,000 subscribers, 22% engagement)</t>
  </si>
  <si>
    <t>- Betting Tips Pro (2,500 subscribers, 20% engagement)</t>
  </si>
  <si>
    <t>Cross-platform insights:</t>
  </si>
  <si>
    <t>- Users engage more with sports-related content on WhatsApp, while Telegram users prefer more informative content.</t>
  </si>
  <si>
    <r>
      <rPr>
        <rFont val="Arial"/>
        <color theme="1"/>
      </rPr>
      <t xml:space="preserve"> 1. Welcome Post (Morning) 
</t>
    </r>
    <r>
      <rPr>
        <rFont val="Arial"/>
        <b/>
        <color theme="1"/>
      </rPr>
      <t>COPY IN IMAGE</t>
    </r>
    <r>
      <rPr>
        <rFont val="Arial"/>
        <color theme="1"/>
      </rPr>
      <t xml:space="preserve">
Welcome to Gold Pari 
</t>
    </r>
    <r>
      <rPr>
        <rFont val="Arial"/>
        <b/>
        <color theme="1"/>
      </rPr>
      <t>IMAGE DESCRIPTION</t>
    </r>
    <r>
      <rPr>
        <rFont val="Arial"/>
        <color theme="1"/>
      </rPr>
      <t xml:space="preserve">
Image showing something Gold Pari fresh and new
</t>
    </r>
    <r>
      <rPr>
        <rFont val="Arial"/>
        <b/>
        <color theme="1"/>
      </rPr>
      <t>CAPTION</t>
    </r>
    <r>
      <rPr>
        <rFont val="Arial"/>
        <color theme="1"/>
      </rPr>
      <t xml:space="preserve">
Welcome to the Gold Pari community!  We’re thrilled to have you here. Get ready for exciting opportunities, insider tips, and big wins! Start by visiting Gold Pari](https://goldpari.com/ and signing up to join the winning league.</t>
    </r>
  </si>
  <si>
    <t>- Promotions and offers perform better on WhatsApp, while infographics resonate more on Telegram</t>
  </si>
  <si>
    <t>Sports Fanatics(WhatsApp) and Sports Insider (Telegram) are top-performing communities across both platforms.</t>
  </si>
  <si>
    <t>Image</t>
  </si>
  <si>
    <t>Scope of Work</t>
  </si>
  <si>
    <t>Community Management on Messaging Platforms:</t>
  </si>
  <si>
    <t>Objective: Optimize engagement and foster community growth on WhatsApp and Telegram.</t>
  </si>
  <si>
    <r>
      <rPr>
        <rFont val="Arial"/>
        <color theme="1"/>
      </rPr>
      <t xml:space="preserve"> 2. Awareness Post (Midday) 
</t>
    </r>
    <r>
      <rPr>
        <rFont val="Arial"/>
        <b/>
        <color theme="1"/>
      </rPr>
      <t>COPY IN IMAGE</t>
    </r>
    <r>
      <rPr>
        <rFont val="Arial"/>
        <color theme="1"/>
      </rPr>
      <t xml:space="preserve">
Become a betting expert with Gold Pari
</t>
    </r>
    <r>
      <rPr>
        <rFont val="Arial"/>
        <b/>
        <color theme="1"/>
      </rPr>
      <t>IMAGE DESCRIPTION</t>
    </r>
    <r>
      <rPr>
        <rFont val="Arial"/>
        <color theme="1"/>
      </rPr>
      <t xml:space="preserve">
Someone thinking while placing a bet on the Gold Pari Site
</t>
    </r>
    <r>
      <rPr>
        <rFont val="Arial"/>
        <b/>
        <color theme="1"/>
      </rPr>
      <t>CAPTION</t>
    </r>
    <r>
      <rPr>
        <rFont val="Arial"/>
        <color theme="1"/>
      </rPr>
      <t xml:space="preserve">
New to betting? Gold Pari makes it easy to get started!  Check out our user-friendly platform https://goldpari.com/ and discover how you can start winning today. </t>
    </r>
  </si>
  <si>
    <t>Activities:</t>
  </si>
  <si>
    <t>- Setup and optimize WhatsApp groups and Telegram channels.</t>
  </si>
  <si>
    <t>- Develop content strategies for regular updates and promotional materials.</t>
  </si>
  <si>
    <t>- Facilitate discussions, respond to queries, and moderate activities.</t>
  </si>
  <si>
    <t>- Track engagement metrics and provide actionable insights for improvement.</t>
  </si>
  <si>
    <t>Affiliate Program Management:</t>
  </si>
  <si>
    <t>Objective: Establish and manage an online affiliate program to drive sales and brand advocacy.</t>
  </si>
  <si>
    <t>- Design and launch the affiliate program with clear policies and training.</t>
  </si>
  <si>
    <t>- Recruit affiliates, provide onboarding, and offer ongoing support.</t>
  </si>
  <si>
    <t xml:space="preserve">Acquired </t>
  </si>
  <si>
    <r>
      <rPr>
        <rFont val="Arial"/>
        <color theme="1"/>
      </rPr>
      <t xml:space="preserve"> 3. Engagement Post (Afternoon)
</t>
    </r>
    <r>
      <rPr>
        <rFont val="Arial"/>
        <b/>
        <color theme="1"/>
      </rPr>
      <t>COPY IN IMAGE</t>
    </r>
    <r>
      <rPr>
        <rFont val="Arial"/>
        <color theme="1"/>
      </rPr>
      <t xml:space="preserve">
What’s your favourite sport to bet on?
</t>
    </r>
    <r>
      <rPr>
        <rFont val="Arial"/>
        <b/>
        <color theme="1"/>
      </rPr>
      <t>IMAGE DESCRIPTION</t>
    </r>
    <r>
      <rPr>
        <rFont val="Arial"/>
        <color theme="1"/>
      </rPr>
      <t xml:space="preserve">
A video of different games rolling 
</t>
    </r>
    <r>
      <rPr>
        <rFont val="Arial"/>
        <b/>
        <color theme="1"/>
      </rPr>
      <t>CAPTION</t>
    </r>
    <r>
      <rPr>
        <rFont val="Arial"/>
        <color theme="1"/>
      </rPr>
      <t xml:space="preserve">
What’s your favorite sport to bet on? Let’s hear it in the comments! Share your picks and connect with other like minded people. 
</t>
    </r>
  </si>
  <si>
    <t>- Implement tracking systems for performance monitoring and optimization.</t>
  </si>
  <si>
    <t>- Generate reports to evaluate affiliate program effectiveness and adjust strategies as needed.</t>
  </si>
  <si>
    <t>Member Recruitment :</t>
  </si>
  <si>
    <t>Objective: Attract and enroll members into WhatsApp and Telegram communities, and the affiliate program.</t>
  </si>
  <si>
    <t>- Develop a recruitment strategy leveraging digital marketing channels</t>
  </si>
  <si>
    <t>- Execute targeted campaigns across:</t>
  </si>
  <si>
    <t>- Social Media (Facebook, Twitter, Instagram)</t>
  </si>
  <si>
    <t>- Email Marketing (newsletters, promotional emails)</t>
  </si>
  <si>
    <t>- Partnerships (influencers, affiliates, businesses)</t>
  </si>
  <si>
    <t>- Engage potential members with:</t>
  </si>
  <si>
    <t>- Compelling messaging (highlighting benefits, exclusive content)</t>
  </si>
  <si>
    <t>- Offers (incentives, discounts, free trials)</t>
  </si>
  <si>
    <t>Monitor recruitment metrics:</t>
  </si>
  <si>
    <t>- Website analytics (traffic, conversions)</t>
  </si>
  <si>
    <t>- Social media insights (engagement, reach)</t>
  </si>
  <si>
    <t>Targets</t>
  </si>
  <si>
    <t>- Email marketing metrics (open rates, click-through rates)</t>
  </si>
  <si>
    <r>
      <rPr>
        <rFont val="Arial"/>
        <color theme="1"/>
      </rPr>
      <t xml:space="preserve"> 4. Education Post (Evening) 
</t>
    </r>
    <r>
      <rPr>
        <rFont val="Arial"/>
        <b/>
        <color theme="1"/>
      </rPr>
      <t>HEADER</t>
    </r>
    <r>
      <rPr>
        <rFont val="Arial"/>
        <color theme="1"/>
      </rPr>
      <t xml:space="preserve">
Gold Pari Tips
</t>
    </r>
    <r>
      <rPr>
        <rFont val="Arial"/>
        <b/>
        <color theme="1"/>
      </rPr>
      <t>BODY COPY</t>
    </r>
    <r>
      <rPr>
        <rFont val="Arial"/>
        <color theme="1"/>
      </rPr>
      <t xml:space="preserve">
1. Start Small
2. Do Your Research
3. Diversify Your Bets
4. Set a Budget
5. Avoid Emotional Betting:
</t>
    </r>
    <r>
      <rPr>
        <rFont val="Arial"/>
        <b/>
        <color theme="1"/>
      </rPr>
      <t>CAPTION</t>
    </r>
    <r>
      <rPr>
        <rFont val="Arial"/>
        <color theme="1"/>
      </rPr>
      <t xml:space="preserve">
Pro Tip: Always start with small bets to get a feel for the game. Learn more about smart betting strategies and visit https://goldpari.com/ to make your first deposit today</t>
    </r>
  </si>
  <si>
    <t>Approved</t>
  </si>
  <si>
    <t>Deliverables:</t>
  </si>
  <si>
    <t>- Comprehensive setup and optimization of WhatsApp and Telegram communities.</t>
  </si>
  <si>
    <t>- Content plans and engagement strategies aligned with platform dynamics and creative agency</t>
  </si>
  <si>
    <t>- Performance metrics and reports for community engagement and affiliate program success.</t>
  </si>
  <si>
    <t xml:space="preserve">Friday 15th August </t>
  </si>
  <si>
    <t>- Successful recruitment of targeted members to join communities and participate in the affiliate program.</t>
  </si>
  <si>
    <t>Friday</t>
  </si>
  <si>
    <t>Targets Objectives</t>
  </si>
  <si>
    <t>Phase 1 Rollout: Uganda, Zambia, Nigeria, Ghana (Kick off 15th July)</t>
  </si>
  <si>
    <t>Overview</t>
  </si>
  <si>
    <t>Community Growth:</t>
  </si>
  <si>
    <t>- Grow WhatsApp group membership to 500 members within 3 months.</t>
  </si>
  <si>
    <t>- Grow Telegram channel subscribers to 2,000 subscribers within 3 months.</t>
  </si>
  <si>
    <t>Content Engagement:</t>
  </si>
  <si>
    <t>- Average engagement rate: 15% across both platforms</t>
  </si>
  <si>
    <t>- WhatsApp: Boost engagement with sports updates and promotions</t>
  </si>
  <si>
    <t>- Telegram: Increase engagement with infographics and news updates</t>
  </si>
  <si>
    <t>Affiliate Partnerships:</t>
  </si>
  <si>
    <t>- Recruit and onboard 20 online affiliates per market within 3 months</t>
  </si>
  <si>
    <t>- Generate affiliate-driven sales through targeted promotions and incentives</t>
  </si>
  <si>
    <t>Gideon Benyin-Amo</t>
  </si>
  <si>
    <t>Phase 2 Rollout: Egypt, Somalia (Kick off 1st August  )</t>
  </si>
  <si>
    <r>
      <rPr>
        <rFont val="Arial"/>
        <color theme="1"/>
      </rPr>
      <t xml:space="preserve"> 1. Welcome Post (Afternoon) 
</t>
    </r>
    <r>
      <rPr>
        <rFont val="Arial"/>
        <b/>
        <color theme="1"/>
      </rPr>
      <t>COPY IN IMAGE</t>
    </r>
    <r>
      <rPr>
        <rFont val="Arial"/>
        <color theme="1"/>
      </rPr>
      <t xml:space="preserve">
Welcome to the family
</t>
    </r>
    <r>
      <rPr>
        <rFont val="Arial"/>
        <b/>
        <color theme="1"/>
      </rPr>
      <t>IMAGE DESCRIPTION</t>
    </r>
    <r>
      <rPr>
        <rFont val="Arial"/>
        <color theme="1"/>
      </rPr>
      <t xml:space="preserve">
Group of people happy together
</t>
    </r>
    <r>
      <rPr>
        <rFont val="Arial"/>
        <b/>
        <color theme="1"/>
      </rPr>
      <t>CAPTION</t>
    </r>
    <r>
      <rPr>
        <rFont val="Arial"/>
        <color theme="1"/>
      </rPr>
      <t xml:space="preserve">
 A warm welcome to all our new members! You’re now part of the Gold Pari family. Head over to https://goldpari.com/ and kickstart your betting journey with us.</t>
    </r>
  </si>
  <si>
    <t>Phase 3 Rollout: Côte d'Ivoire, Senegal, Cameroon (Kick off 1st September)</t>
  </si>
  <si>
    <r>
      <rPr>
        <rFont val="Arial"/>
        <color theme="1"/>
      </rPr>
      <t xml:space="preserve">2. Soccer post
</t>
    </r>
    <r>
      <rPr>
        <rFont val="Arial"/>
        <b/>
        <color theme="1"/>
      </rPr>
      <t>COPYINVIDEO</t>
    </r>
    <r>
      <rPr>
        <rFont val="Arial"/>
        <color theme="1"/>
      </rPr>
      <t xml:space="preserve">
Premier league is back. 
Today is the day. 
</t>
    </r>
    <r>
      <rPr>
        <rFont val="Arial"/>
        <b/>
        <color theme="1"/>
      </rPr>
      <t>IMAGE DESCRIPTION</t>
    </r>
    <r>
      <rPr>
        <rFont val="Arial"/>
        <color theme="1"/>
      </rPr>
      <t xml:space="preserve">
Premier League
La liga
Ligue 1
Premeira Liga
</t>
    </r>
    <r>
      <rPr>
        <rFont val="Arial"/>
        <b/>
        <color theme="1"/>
      </rPr>
      <t>CAPTION</t>
    </r>
    <r>
      <rPr>
        <rFont val="Arial"/>
        <color theme="1"/>
      </rPr>
      <t xml:space="preserve">
Gameweek 1of 38 of the premier league starts today. Don,t forget to visit https://goldpari.com/ to place your bet. </t>
    </r>
  </si>
  <si>
    <t>Target Rationale</t>
  </si>
  <si>
    <t>The targets are set based on market analysis, considering factors like size, competition, and user behavior. WhatsApp is popular in Uganda, Zambia, Nigeria, and Ghana, while Telegram has a strong presence in Egypt and Somalia. Targets are tailored to each market's unique characteristics, aiming for realistic growth and engagement.</t>
  </si>
  <si>
    <t>Content Publishing Strategy</t>
  </si>
  <si>
    <t>Creative Agency Collaboration:</t>
  </si>
  <si>
    <t>- Partnering with a creative agency to develop compelling content aligned with brand guidelines and market preferences.</t>
  </si>
  <si>
    <t>- Briefing the agency on content themes, messaging priorities, and localization requirements for each market under phase 1.</t>
  </si>
  <si>
    <t>Localization Strategy:</t>
  </si>
  <si>
    <t>- Adapting content to resonate with cultural nuances, language preferences, and regional interests.</t>
  </si>
  <si>
    <t>- Incorporating localized imagery, references, and storytelling elements to enhance relevance and engagement.</t>
  </si>
  <si>
    <t>Overview of Planned Content Pieces for Phase 1:</t>
  </si>
  <si>
    <t xml:space="preserve">19/08/24        </t>
  </si>
  <si>
    <t>- Bi-weekly sports updates highlighting local teams and events.</t>
  </si>
  <si>
    <r>
      <rPr>
        <rFont val="Arial"/>
        <color theme="1"/>
      </rPr>
      <t xml:space="preserve">3. Betting odds
</t>
    </r>
    <r>
      <rPr>
        <rFont val="Arial"/>
        <b/>
        <color theme="1"/>
      </rPr>
      <t xml:space="preserve">COPY IN IMAGE </t>
    </r>
    <r>
      <rPr>
        <rFont val="Arial"/>
        <color theme="1"/>
      </rPr>
      <t xml:space="preserve">
Leero gwe awangula
</t>
    </r>
    <r>
      <rPr>
        <rFont val="Arial"/>
        <b/>
        <color theme="1"/>
      </rPr>
      <t>IMAGE DESCRIPTION</t>
    </r>
    <r>
      <rPr>
        <rFont val="Arial"/>
        <color theme="1"/>
      </rPr>
      <t xml:space="preserve">
The selected days game with odds
</t>
    </r>
    <r>
      <rPr>
        <rFont val="Arial"/>
        <b/>
        <color theme="1"/>
      </rPr>
      <t xml:space="preserve">CAPTION
</t>
    </r>
    <r>
      <rPr>
        <rFont val="Arial"/>
        <color theme="1"/>
      </rPr>
      <t>Our odds are your best chance to win</t>
    </r>
  </si>
  <si>
    <t>- Monthly promotional posts featuring exclusive offers and discounts.</t>
  </si>
  <si>
    <t>- Educational articles focused on betting tips and strategies tailored to regional interests.</t>
  </si>
  <si>
    <t xml:space="preserve">26/08/24	</t>
  </si>
  <si>
    <t>- Bi-weekly infographics presenting betting statistics and trends.</t>
  </si>
  <si>
    <t>- Short videos providing expert insights and analysis on sports and betting.</t>
  </si>
  <si>
    <t>Images</t>
  </si>
  <si>
    <t>- News updates covering regulatory changes and industry developments.</t>
  </si>
  <si>
    <t xml:space="preserve">4. Game updates
Team Lineup updates
Score updates. 
</t>
  </si>
  <si>
    <t>Ghana</t>
  </si>
  <si>
    <t>Online Affiliates:</t>
  </si>
  <si>
    <t>- Comprehensive guides detailing program benefits, commission structures, and promotional strategies.</t>
  </si>
  <si>
    <t>Saturday 16th Aug Friday</t>
  </si>
  <si>
    <t xml:space="preserve">16/09/24	</t>
  </si>
  <si>
    <t>- Promotional Content Kits featuring customizable banners, social media posts, and email templates.</t>
  </si>
  <si>
    <t>Saturday</t>
  </si>
  <si>
    <t xml:space="preserve">23/09/24	</t>
  </si>
  <si>
    <t>- Incentive programs are designed to motivate affiliates with bonuses and special promotions.</t>
  </si>
  <si>
    <t xml:space="preserve">30/09/24	</t>
  </si>
  <si>
    <t>Team Structure and Execution Management - Phase</t>
  </si>
  <si>
    <t>Community Management Team:</t>
  </si>
  <si>
    <t>- WhatsApp and Telegram Manager (Per Market): Leads setup and optimization of WhatsApp groups and Telegram channels across Uganda, Zambia, Nigeria, and Ghana. Focuses on sports updates, promotions, infographics, and news updates specific to each market.</t>
  </si>
  <si>
    <t>- Engagement Specialists: Manage community interactions, respond to queries, and ensure high engagement rates across all targeted markets.</t>
  </si>
  <si>
    <t>Social Media Post</t>
  </si>
  <si>
    <t>Person Per Market Approach:</t>
  </si>
  <si>
    <t>Uganda</t>
  </si>
  <si>
    <t>Assign dedicated affiliate managers or recruitment specialists to each market (e.g., Uganda, Zambia, Nigeria, Ghana).</t>
  </si>
  <si>
    <t>Good Morning, Ghana! Another day, another chance to win big with Gold Pari. #GoldPari #Welcome</t>
  </si>
  <si>
    <t>Pros: Provides localized expertise and tailored strategies for each market. Allows for deeper understanding of regional dynamics and affiliate needs.</t>
  </si>
  <si>
    <t xml:space="preserve">WhatsApp group membership to (500) </t>
  </si>
  <si>
    <t>N/A</t>
  </si>
  <si>
    <t xml:space="preserve">Oji Chimemela Ude </t>
  </si>
  <si>
    <t>Nigeria</t>
  </si>
  <si>
    <t>Hello Goldpari community! We're excited to share updates, behind-the-scenes insights, and exclusive offers with you! Stay tuned and let us know what you love about Goldpari!</t>
  </si>
  <si>
    <t>Get the best odds for Champions league Qualifiers today on Gold Pari</t>
  </si>
  <si>
    <t xml:space="preserve">Lawrence </t>
  </si>
  <si>
    <t>Whatsapp Post</t>
  </si>
  <si>
    <t>Earn Money Online as a GoldPari Partner
Join the GoldPari Affiliate Program
Refer new users to GoldPari
Earn up to 40% commission on referrals
Sign Up Today!</t>
  </si>
  <si>
    <t>https://goldpari.partners/</t>
  </si>
  <si>
    <t>Telegram channel subscribers to (2,000)</t>
  </si>
  <si>
    <t>Average engagement rate: 15% across both platforms</t>
  </si>
  <si>
    <t>-</t>
  </si>
  <si>
    <t>Matthew Opio</t>
  </si>
  <si>
    <t>15th August</t>
  </si>
  <si>
    <t xml:space="preserve">Welcome to Gold Pari </t>
  </si>
  <si>
    <t>Telegram fan group subscribers to (2,000)</t>
  </si>
  <si>
    <t>Why Become a GoldPari Partner?
- Regular Payouts
Receive automatic weekly payments, starting at $30.
- High Commission Rates
Earn up to 40% commission on every customer you refer.
Sign Up Today!</t>
  </si>
  <si>
    <t>Our Affiliates Earn an Average of $935/Month
Start earning today!</t>
  </si>
  <si>
    <r>
      <rPr>
        <rFont val="Arial"/>
        <color theme="1"/>
      </rPr>
      <t xml:space="preserve"> 1. Welcome Post (Morning) 
</t>
    </r>
    <r>
      <rPr>
        <rFont val="Arial"/>
        <b/>
        <color theme="1"/>
      </rPr>
      <t>COPY IN IMAGE</t>
    </r>
    <r>
      <rPr>
        <rFont val="Arial"/>
        <color theme="1"/>
      </rPr>
      <t xml:space="preserve">
Good Morning, Ghana! Start your day with excitement—Gold Pari is here! Ready to turn your passion for sports into winnings? Join us now for the ultimate betting experience. #GoldPari #BetOnWinning"
</t>
    </r>
    <r>
      <rPr>
        <rFont val="Arial"/>
        <b/>
        <color theme="1"/>
      </rPr>
      <t>IMAGE DESCRIPTION</t>
    </r>
    <r>
      <rPr>
        <rFont val="Arial"/>
        <color theme="1"/>
      </rPr>
      <t xml:space="preserve">
A vibrant sunrise over Accra, with a dynamic overlay of Gold Pari's logo and a football in motion, symbolizing the start of a thrilling journey.
</t>
    </r>
    <r>
      <rPr>
        <rFont val="Arial"/>
        <b/>
        <color theme="1"/>
      </rPr>
      <t xml:space="preserve">CAPTION
</t>
    </r>
    <r>
      <rPr>
        <rFont val="Arial"/>
        <color theme="1"/>
      </rPr>
      <t xml:space="preserve">Rise and shine, Ghana! 🌞 Gold Pari is here to kickstart your winning streak. Are you ready to bet on your passion? Start by visiting Gold Pari](https://goldpari.com/ and signing up to join the winning league.
</t>
    </r>
  </si>
  <si>
    <r>
      <rPr>
        <rFont val="Arial"/>
        <color theme="1"/>
      </rPr>
      <t xml:space="preserve"> 2. Awareness Post (Midday) 
</t>
    </r>
    <r>
      <rPr>
        <rFont val="Arial"/>
        <b/>
        <color theme="1"/>
      </rPr>
      <t>COPY IN IMAGE</t>
    </r>
    <r>
      <rPr>
        <rFont val="Arial"/>
        <color theme="1"/>
      </rPr>
      <t xml:space="preserve">
Lunchtime vibes! 🍔 Take a break and dive into the world of sports betting with Gold Pari. Big wins await you—are you in? #GoldPari #BettingMadeEasy
</t>
    </r>
    <r>
      <rPr>
        <rFont val="Arial"/>
        <b/>
        <color theme="1"/>
      </rPr>
      <t>IMAGE DESCRIPTION</t>
    </r>
    <r>
      <rPr>
        <rFont val="Arial"/>
        <color theme="1"/>
      </rPr>
      <t xml:space="preserve">
A lunchtime scene at a local Ghanaian restaurant, with friends enjoying a meal while checking their phones, the Gold Pari app visible on the screen.
</t>
    </r>
    <r>
      <rPr>
        <rFont val="Arial"/>
        <b/>
        <color theme="1"/>
      </rPr>
      <t>CAPTION</t>
    </r>
    <r>
      <rPr>
        <rFont val="Arial"/>
        <color theme="1"/>
      </rPr>
      <t xml:space="preserve">
Midday thrill! As you enjoy your lunch, why not spice up your day with some winning bets? Join Gold Pari now and make every moment count! 🔗 [Insert Sign-Up Link] #GoldPari #LunchBreak #WinningStreak</t>
    </r>
  </si>
  <si>
    <r>
      <rPr>
        <rFont val="Arial"/>
        <color theme="1"/>
      </rPr>
      <t xml:space="preserve"> 3. Engagement Post (Afternoon)
</t>
    </r>
    <r>
      <rPr>
        <rFont val="Arial"/>
        <b/>
        <color theme="1"/>
      </rPr>
      <t>COPY IN IMAGE</t>
    </r>
    <r>
      <rPr>
        <rFont val="Arial"/>
        <color theme="1"/>
      </rPr>
      <t xml:space="preserve">
What’s your favourite sport to bet on?
</t>
    </r>
    <r>
      <rPr>
        <rFont val="Arial"/>
        <b/>
        <color theme="1"/>
      </rPr>
      <t>IMAGE DESCRIPTION</t>
    </r>
    <r>
      <rPr>
        <rFont val="Arial"/>
        <color theme="1"/>
      </rPr>
      <t xml:space="preserve">
A dynamic image of a footballer mid-kick, with a subtle background of various sports icons, showcasing the variety of sports available on Gold Pari.
</t>
    </r>
    <r>
      <rPr>
        <rFont val="Arial"/>
        <b/>
        <color theme="1"/>
      </rPr>
      <t>CAPTION</t>
    </r>
    <r>
      <rPr>
        <rFont val="Arial"/>
        <color theme="1"/>
      </rPr>
      <t xml:space="preserve">
What’s your favorite sport to bet on? Let’s hear it in the comments! Share your picks and connect with other like minded people. #GoldPari #AfternoonHustle
</t>
    </r>
  </si>
  <si>
    <t>Zambia</t>
  </si>
  <si>
    <r>
      <rPr>
        <rFont val="Arial"/>
        <color theme="1"/>
      </rPr>
      <t xml:space="preserve"> 4. Education Post (Evening) 
</t>
    </r>
    <r>
      <rPr>
        <rFont val="Arial"/>
        <b/>
        <color theme="1"/>
      </rPr>
      <t>HEADER</t>
    </r>
    <r>
      <rPr>
        <rFont val="Arial"/>
        <color theme="1"/>
      </rPr>
      <t xml:space="preserve">
Gold Pari Tips
</t>
    </r>
    <r>
      <rPr>
        <rFont val="Arial"/>
        <b/>
        <color theme="1"/>
      </rPr>
      <t>BODY COPY</t>
    </r>
    <r>
      <rPr>
        <rFont val="Arial"/>
        <color theme="1"/>
      </rPr>
      <t xml:space="preserve">
1. Start Small
2. Do Your Research
3. Diversify Your Bets
4. Set a Budget
5. Avoid Emotional Betting:
</t>
    </r>
    <r>
      <rPr>
        <rFont val="Arial"/>
        <b/>
        <color theme="1"/>
      </rPr>
      <t>CAPTION</t>
    </r>
    <r>
      <rPr>
        <rFont val="Arial"/>
        <color theme="1"/>
      </rPr>
      <t xml:space="preserve">
Pro Tip: Always start with small bets to get a feel for the game. Learn more about smart betting strategies and visit https://goldpari.com/ to make your first deposit today#GoldPari #EveningWins #NightBetting</t>
    </r>
  </si>
  <si>
    <r>
      <rPr/>
      <t xml:space="preserve">Getting Started is Easy!
**** Show the affiliate registration page here - </t>
    </r>
    <r>
      <rPr>
        <color rgb="FF1155CC"/>
        <u/>
      </rPr>
      <t>https://goldpari.partners/sign-up</t>
    </r>
    <r>
      <rPr/>
      <t xml:space="preserve">
Start Earning Today!</t>
    </r>
  </si>
  <si>
    <t xml:space="preserve">16th August </t>
  </si>
  <si>
    <r>
      <rPr>
        <rFont val="Arial"/>
        <color theme="1"/>
      </rPr>
      <t xml:space="preserve">1. Awareness Post (Morning
</t>
    </r>
    <r>
      <rPr>
        <rFont val="Arial"/>
        <b/>
        <color theme="1"/>
      </rPr>
      <t>COPY IN IMAGE</t>
    </r>
    <r>
      <rPr>
        <rFont val="Arial"/>
        <color theme="1"/>
      </rPr>
      <t xml:space="preserve">: Good Morning, Ghana! 🌞 Premier League action is back Today! Manchester United vs Fulham. #GoldPari #PremierLeague
</t>
    </r>
    <r>
      <rPr>
        <rFont val="Arial"/>
        <b/>
        <color theme="1"/>
      </rPr>
      <t>IAMGE DESCRIPSTION</t>
    </r>
    <r>
      <rPr>
        <rFont val="Arial"/>
        <color theme="1"/>
      </rPr>
      <t xml:space="preserve">:EPL is Back, with Machester vs Fulham match displayed
</t>
    </r>
    <r>
      <rPr>
        <rFont val="Arial"/>
        <b/>
        <color theme="1"/>
      </rPr>
      <t>CAPTION</t>
    </r>
    <r>
      <rPr>
        <rFont val="Arial"/>
        <color theme="1"/>
      </rPr>
      <t>: The Premier League is back! ⚽ Bet on Machester vs Fulham and get in on the action with Gold Pari.  #GoldPari #EPL" via (https://goldpari.com/)</t>
    </r>
  </si>
  <si>
    <r>
      <rPr>
        <rFont val="Arial"/>
        <color theme="1"/>
      </rPr>
      <t xml:space="preserve">2. Betting odds (Midday)
</t>
    </r>
    <r>
      <rPr>
        <rFont val="Arial"/>
        <b/>
        <color theme="1"/>
      </rPr>
      <t xml:space="preserve">COPY IN IMAGE </t>
    </r>
    <r>
      <rPr>
        <rFont val="Arial"/>
        <color theme="1"/>
      </rPr>
      <t xml:space="preserve">
Get the best odds on Gold Pari
</t>
    </r>
    <r>
      <rPr>
        <rFont val="Arial"/>
        <b/>
        <color theme="1"/>
      </rPr>
      <t>IMAGE DESCRIPTION</t>
    </r>
    <r>
      <rPr>
        <rFont val="Arial"/>
        <color theme="1"/>
      </rPr>
      <t xml:space="preserve">
The selected selected odds of the big leagues
</t>
    </r>
    <r>
      <rPr>
        <rFont val="Arial"/>
        <b/>
        <color theme="1"/>
      </rPr>
      <t xml:space="preserve">CAPTION
</t>
    </r>
    <r>
      <rPr>
        <rFont val="Arial"/>
        <color theme="1"/>
      </rPr>
      <t>Our odds are your best chance to win #GoldPari #BestOdds</t>
    </r>
  </si>
  <si>
    <t>https://aff.ninja/wp-content/uploads/2024/02/Partners-1xBet-Registration-1024x462.webp</t>
  </si>
  <si>
    <r>
      <rPr>
        <rFont val="Arial"/>
        <color theme="1"/>
      </rPr>
      <t xml:space="preserve">3. Engagement Post (Afternoon)
</t>
    </r>
    <r>
      <rPr>
        <rFont val="Arial"/>
        <b/>
        <color theme="1"/>
      </rPr>
      <t xml:space="preserve">COPY IN IMAGE </t>
    </r>
    <r>
      <rPr>
        <rFont val="Arial"/>
        <color theme="1"/>
      </rPr>
      <t xml:space="preserve">To score the First EPL goal
</t>
    </r>
    <r>
      <rPr>
        <rFont val="Arial"/>
        <b/>
        <color theme="1"/>
      </rPr>
      <t>IMAGE DECRIPTION: I</t>
    </r>
    <r>
      <rPr>
        <rFont val="Arial"/>
        <color theme="1"/>
      </rPr>
      <t xml:space="preserve">mage of EPL match of Manchester United vs Fulham with some selected players from each team 
</t>
    </r>
    <r>
      <rPr>
        <rFont val="Arial"/>
        <b/>
        <color theme="1"/>
      </rPr>
      <t xml:space="preserve">CAPTION: </t>
    </r>
    <r>
      <rPr>
        <rFont val="Arial"/>
        <color theme="1"/>
      </rPr>
      <t>Who is going to score the first goal of this season EPL? #GoldPari #EPL #FirstGoal</t>
    </r>
  </si>
  <si>
    <r>
      <rPr>
        <rFont val="Arial"/>
        <color theme="1"/>
      </rPr>
      <t xml:space="preserve">4. Game updates (Evening)
</t>
    </r>
    <r>
      <rPr>
        <rFont val="Arial"/>
        <b/>
        <color theme="1"/>
      </rPr>
      <t>COPY IN IMAGE</t>
    </r>
    <r>
      <rPr>
        <rFont val="Arial"/>
        <color theme="1"/>
      </rPr>
      <t xml:space="preserve"> Team Lineup updates of Manchester United vs Fulham
</t>
    </r>
    <r>
      <rPr>
        <rFont val="Arial"/>
        <b/>
        <color theme="1"/>
      </rPr>
      <t xml:space="preserve">CAPTION: </t>
    </r>
    <r>
      <rPr>
        <rFont val="Arial"/>
        <color theme="1"/>
      </rPr>
      <t>Check out the lineup of tonight's EPL match between Manchester United and Fulham  #GoldPari #EPL</t>
    </r>
    <r>
      <rPr>
        <rFont val="Arial"/>
        <b/>
        <color theme="1"/>
      </rPr>
      <t xml:space="preserve">
</t>
    </r>
  </si>
  <si>
    <t>17th August</t>
  </si>
  <si>
    <r>
      <rPr/>
      <t xml:space="preserve">1. Welcone Post (Morning)
</t>
    </r>
    <r>
      <rPr>
        <b/>
      </rPr>
      <t xml:space="preserve">COPY IN IMAGE: </t>
    </r>
    <r>
      <rPr/>
      <t xml:space="preserve">Good Morning, Ghana! Ready for another winning day with Gold Pari? Let’s go! #GoldPari #Welcome
</t>
    </r>
    <r>
      <rPr>
        <b/>
      </rPr>
      <t xml:space="preserve">IMAGE DECRIPTION: </t>
    </r>
    <r>
      <rPr/>
      <t xml:space="preserve">A vibrant welcome image with the Gold Pari logo and happy bettors
</t>
    </r>
    <r>
      <rPr>
        <b/>
      </rPr>
      <t xml:space="preserve">CAPTION: </t>
    </r>
    <r>
      <rPr/>
      <t>Start your day with Gold Pari! Let’s win together. [</t>
    </r>
    <r>
      <rPr>
        <color rgb="FF1155CC"/>
        <u/>
      </rPr>
      <t>https://goldpari.com</t>
    </r>
    <r>
      <rPr/>
      <t>] #GoldPari #Welcome</t>
    </r>
  </si>
  <si>
    <t>Unlock Your 300% Welcome Bonus!
Sign Up Today on GoldPari.
Complete Your Profile in My Account.
Deposit as Little as 3800 UGX to qualify.
Triple Your Deposit with a 300% bonus, up to 750,000 UGX!
Register Now.
T&amp;C Apply.</t>
  </si>
  <si>
    <t>https://goldpari.com/bonus/rules/1st-300</t>
  </si>
  <si>
    <r>
      <rPr>
        <rFont val="Arial"/>
        <color theme="1"/>
      </rPr>
      <t xml:space="preserve">2. Engagement Post (Midday)
</t>
    </r>
    <r>
      <rPr>
        <rFont val="Arial"/>
        <b/>
        <color theme="1"/>
      </rPr>
      <t xml:space="preserve">COPY IN IMAGE: </t>
    </r>
    <r>
      <rPr>
        <rFont val="Arial"/>
        <color theme="1"/>
      </rPr>
      <t xml:space="preserve">Afternoon trivia! Who won the Ballon d'Or in 2023? Comment and let's have fun #GoldPari #FootballTrivia
</t>
    </r>
    <r>
      <rPr>
        <rFont val="Arial"/>
        <b/>
        <color theme="1"/>
      </rPr>
      <t xml:space="preserve">IMAGE DECRIPTION: </t>
    </r>
    <r>
      <rPr>
        <rFont val="Arial"/>
        <color theme="1"/>
      </rPr>
      <t xml:space="preserve">A quiz card with a question about the Ballon d'Or winner.
</t>
    </r>
    <r>
      <rPr>
        <rFont val="Arial"/>
        <b/>
        <color theme="1"/>
      </rPr>
      <t xml:space="preserve">CAPTION: </t>
    </r>
    <r>
      <rPr>
        <rFont val="Arial"/>
        <color theme="1"/>
      </rPr>
      <t>Test your football knowledge! Answer and show off your ball knowledge.  #GoldPari #QuizTime</t>
    </r>
  </si>
  <si>
    <r>
      <rPr>
        <rFont val="Arial"/>
        <color theme="1"/>
      </rPr>
      <t xml:space="preserve">3.Football Post (Afternoon)
</t>
    </r>
    <r>
      <rPr>
        <rFont val="Arial"/>
        <b/>
        <color theme="1"/>
      </rPr>
      <t>COPY IN IMAGE: EPL</t>
    </r>
    <r>
      <rPr>
        <rFont val="Arial"/>
        <color theme="1"/>
      </rPr>
      <t xml:space="preserve"> action today—don’t miss it! Who’s your pick? #GoldPari #EPL
</t>
    </r>
    <r>
      <rPr>
        <rFont val="Arial"/>
        <b/>
        <color theme="1"/>
      </rPr>
      <t xml:space="preserve">IMAGE DECRIPTION: </t>
    </r>
    <r>
      <rPr>
        <rFont val="Arial"/>
        <color theme="1"/>
      </rPr>
      <t xml:space="preserve">An action shot of EPL players during a match
</t>
    </r>
    <r>
      <rPr>
        <rFont val="Arial"/>
        <b/>
        <color theme="1"/>
      </rPr>
      <t xml:space="preserve">CAPTION: </t>
    </r>
    <r>
      <rPr>
        <rFont val="Arial"/>
        <color theme="1"/>
      </rPr>
      <t>Bet on today’s EPL match! Bet now with Gold Pari. [https://goldpari.com] #GoldPari #EPL</t>
    </r>
  </si>
  <si>
    <r>
      <rPr/>
      <t xml:space="preserve">4. Game Updates (Evening)
</t>
    </r>
    <r>
      <rPr>
        <b/>
      </rPr>
      <t xml:space="preserve">COPY IN IMAGE: </t>
    </r>
    <r>
      <rPr/>
      <t xml:space="preserve">Get the latest updates from today’s big match. Who’s leading? #GoldPari #GameUpdates
</t>
    </r>
    <r>
      <rPr>
        <b/>
      </rPr>
      <t xml:space="preserve">IMAGE DECRIPTION: </t>
    </r>
    <r>
      <rPr/>
      <t xml:space="preserve">A live scoreboard or image from the ongoing match
</t>
    </r>
    <r>
      <rPr>
        <b/>
      </rPr>
      <t xml:space="preserve">CAPTION: </t>
    </r>
    <r>
      <rPr/>
      <t>Stay updated on today’s match. [</t>
    </r>
    <r>
      <rPr>
        <color rgb="FF1155CC"/>
        <u/>
      </rPr>
      <t>https://goldpari.com/</t>
    </r>
    <r>
      <rPr/>
      <t>] #GoldPari #GameUpdates</t>
    </r>
  </si>
  <si>
    <t>Funa 3% Cashback Buli Wiiki!
Weewandiise oba Yingira ku GoldPari website oba app.
Betting buli lunaku, wiiki yonna.
Funa 3% y'ebyo by'olwaanye ebitali bitojja okutuuka ku 3,713,846 UGX direct ku account yo buli Lwokubiri.
Weewandiise Kati!</t>
  </si>
  <si>
    <t>https://goldpari.com/bonus/rules/3_percent_weekly_cashback</t>
  </si>
  <si>
    <t>18th August</t>
  </si>
  <si>
    <t>Sunday</t>
  </si>
  <si>
    <r>
      <rPr/>
      <t xml:space="preserve">1. Welcome Post (Morning)
</t>
    </r>
    <r>
      <rPr>
        <b/>
      </rPr>
      <t xml:space="preserve">COPY IN IMAGE: </t>
    </r>
    <r>
      <rPr/>
      <t>Good Morning, Ghana! Join us today and start winning with Gold Pari [</t>
    </r>
    <r>
      <rPr>
        <color rgb="FF1155CC"/>
        <u/>
      </rPr>
      <t>https://goldpari.com/</t>
    </r>
    <r>
      <rPr/>
      <t xml:space="preserve">]. #GoldPari #Welcome
</t>
    </r>
    <r>
      <rPr>
        <b/>
      </rPr>
      <t xml:space="preserve">IMAGE DECRIPTION: </t>
    </r>
    <r>
      <rPr/>
      <t xml:space="preserve">A warm welcome image with the Gold Pari logo.
</t>
    </r>
    <r>
      <rPr>
        <b/>
      </rPr>
      <t xml:space="preserve">CAPTION: </t>
    </r>
    <r>
      <rPr/>
      <t>Start your day with Gold Pari! Join the fun. [</t>
    </r>
    <r>
      <rPr>
        <color rgb="FF1155CC"/>
        <u/>
      </rPr>
      <t>https://goldpari.com/</t>
    </r>
    <r>
      <rPr/>
      <t>] #GoldPari #Welcome"</t>
    </r>
  </si>
  <si>
    <r>
      <rPr>
        <rFont val="Arial"/>
        <color theme="1"/>
      </rPr>
      <t xml:space="preserve">2. Football Post (Midday)
</t>
    </r>
    <r>
      <rPr>
        <rFont val="Arial"/>
        <b/>
        <color theme="1"/>
      </rPr>
      <t xml:space="preserve">COPY IN IMAGE: </t>
    </r>
    <r>
      <rPr>
        <rFont val="Arial"/>
        <color theme="1"/>
      </rPr>
      <t xml:space="preserve">EPL match of the day! Chelsea vs Manchester City #GoldPari #EPL
</t>
    </r>
    <r>
      <rPr>
        <rFont val="Arial"/>
        <b/>
        <color theme="1"/>
      </rPr>
      <t xml:space="preserve">IMAGE DECRIPTION: </t>
    </r>
    <r>
      <rPr>
        <rFont val="Arial"/>
        <color theme="1"/>
      </rPr>
      <t xml:space="preserve">an image of a chelsea player (Palmer) against Manchester City player (Haaland)
</t>
    </r>
    <r>
      <rPr>
        <rFont val="Arial"/>
        <b/>
        <color theme="1"/>
      </rPr>
      <t xml:space="preserve">CAPTION: </t>
    </r>
    <r>
      <rPr>
        <rFont val="Arial"/>
        <color theme="1"/>
      </rPr>
      <t>Bet on today’s Premier League matches! Join the action with Gold Pari. [https://goldpari.com/] #GoldPari #EPL"</t>
    </r>
  </si>
  <si>
    <r>
      <rPr/>
      <t xml:space="preserve">3. Betting Odds (Afternoon)
</t>
    </r>
    <r>
      <rPr>
        <b/>
      </rPr>
      <t xml:space="preserve">COPY IN IMAGE: </t>
    </r>
    <r>
      <rPr/>
      <t xml:space="preserve">Check the latest odds for tonight’s top matches! #GoldPari #BettingOdds
</t>
    </r>
    <r>
      <rPr>
        <b/>
      </rPr>
      <t xml:space="preserve">IMAGE DECRIPTION: </t>
    </r>
    <r>
      <rPr/>
      <t xml:space="preserve">A visual display of betting odds
</t>
    </r>
    <r>
      <rPr>
        <b/>
      </rPr>
      <t xml:space="preserve">CAPTION: </t>
    </r>
    <r>
      <rPr/>
      <t>Bet on today’s top matches! Bet now with Gold Pari.[</t>
    </r>
    <r>
      <rPr>
        <color rgb="FF1155CC"/>
        <u/>
      </rPr>
      <t>https://goldpari.com/</t>
    </r>
    <r>
      <rPr/>
      <t>] #GoldPari #BettingOdds</t>
    </r>
  </si>
  <si>
    <r>
      <rPr>
        <rFont val="Arial"/>
        <color theme="1"/>
      </rPr>
      <t xml:space="preserve">4. Game Updates (Evening)
</t>
    </r>
    <r>
      <rPr>
        <rFont val="Arial"/>
        <b/>
        <color theme="1"/>
      </rPr>
      <t xml:space="preserve">COPY IN IMAGE: </t>
    </r>
    <r>
      <rPr>
        <rFont val="Arial"/>
        <color theme="1"/>
      </rPr>
      <t xml:space="preserve">Stay updated on today's top matches #GoldPari #GameUpdates
</t>
    </r>
    <r>
      <rPr>
        <rFont val="Arial"/>
        <b/>
        <color theme="1"/>
      </rPr>
      <t xml:space="preserve">IMAGE DECRIPTION: </t>
    </r>
    <r>
      <rPr>
        <rFont val="Arial"/>
        <color theme="1"/>
      </rPr>
      <t xml:space="preserve">A live scoreboard or image from the ended matches of the top leagues
</t>
    </r>
    <r>
      <rPr>
        <rFont val="Arial"/>
        <b/>
        <color theme="1"/>
      </rPr>
      <t xml:space="preserve">CAPTION: </t>
    </r>
    <r>
      <rPr>
        <rFont val="Arial"/>
        <color theme="1"/>
      </rPr>
      <t>Get updates on tonight’s matches. #GoldPari #GameUpdates</t>
    </r>
  </si>
  <si>
    <t>19th August</t>
  </si>
  <si>
    <t>Get Ahead with Advancebet!
Unlock extra betting power with our exclusive Advancebet bonus, available for customers with unsettled bets in their accounts. Take your chances and place new bets even before your current ones settle!
Bet Now &amp; Win Big!</t>
  </si>
  <si>
    <t>https://goldpari.com/bonus/rules/doverie</t>
  </si>
  <si>
    <r>
      <rPr/>
      <t xml:space="preserve">1. Welcome Post (Morning)
</t>
    </r>
    <r>
      <rPr>
        <b/>
      </rPr>
      <t xml:space="preserve">COPY IN IMAGE: </t>
    </r>
    <r>
      <rPr/>
      <t>Good Morning, Ghana! Join us today and start winning with Gold Pari [</t>
    </r>
    <r>
      <rPr>
        <color rgb="FF1155CC"/>
        <u/>
      </rPr>
      <t>https://goldpari.com/</t>
    </r>
    <r>
      <rPr/>
      <t xml:space="preserve">]. #GoldPari #Welcome
</t>
    </r>
    <r>
      <rPr>
        <b/>
      </rPr>
      <t xml:space="preserve">IMAGE DECRIPTION: </t>
    </r>
    <r>
      <rPr/>
      <t xml:space="preserve">A warm welcome image with the Gold Pari logo.
</t>
    </r>
    <r>
      <rPr>
        <b/>
      </rPr>
      <t xml:space="preserve">CAPTION: </t>
    </r>
    <r>
      <rPr/>
      <t>Start your day with Gold Pari! Join the fun. [</t>
    </r>
    <r>
      <rPr>
        <color rgb="FF1155CC"/>
        <u/>
      </rPr>
      <t>https://goldpari.com/</t>
    </r>
    <r>
      <rPr/>
      <t>] #GoldPari #Welcome"</t>
    </r>
  </si>
  <si>
    <r>
      <rPr>
        <rFont val="Arial"/>
        <color theme="1"/>
      </rPr>
      <t xml:space="preserve">2. Engagement Post (Afternoon)
</t>
    </r>
    <r>
      <rPr>
        <rFont val="Arial"/>
        <b/>
        <color theme="1"/>
      </rPr>
      <t xml:space="preserve">COPY IN IMAGE: </t>
    </r>
    <r>
      <rPr>
        <rFont val="Arial"/>
        <color theme="1"/>
      </rPr>
      <t xml:space="preserve">Afternoon trivia! Who scored the most goals in the 2023/2024 UEFA Champions League? #GoldPari #FootballTrivia
</t>
    </r>
    <r>
      <rPr>
        <rFont val="Arial"/>
        <b/>
        <color theme="1"/>
      </rPr>
      <t xml:space="preserve">IMAGE DECRIPTION: </t>
    </r>
    <r>
      <rPr>
        <rFont val="Arial"/>
        <color theme="1"/>
      </rPr>
      <t xml:space="preserve">A quiz card with a question about the top scorer in the 2023/2024 UEFA Champions League
</t>
    </r>
    <r>
      <rPr>
        <rFont val="Arial"/>
        <b/>
        <color theme="1"/>
      </rPr>
      <t xml:space="preserve">CAPTION: </t>
    </r>
    <r>
      <rPr>
        <rFont val="Arial"/>
        <color theme="1"/>
      </rPr>
      <t>Test your football knowledge! Let's meet at the comment section and have fun #GoldPari #QuizTime</t>
    </r>
  </si>
  <si>
    <t>Celebrate Your Birthday with Goldpari!
Is it your special day?  We want to wish you a Happy Birthday and give you a personal bonus to make your celebration even better!
Claim Your Birthday Gift Now and Start Playing!</t>
  </si>
  <si>
    <r>
      <rPr>
        <rFont val="Arial"/>
        <color theme="1"/>
      </rPr>
      <t xml:space="preserve">3. Game Updates (Evening)
</t>
    </r>
    <r>
      <rPr>
        <rFont val="Arial"/>
        <b/>
        <color theme="1"/>
      </rPr>
      <t xml:space="preserve">COPY IN IMAGE: </t>
    </r>
    <r>
      <rPr>
        <rFont val="Arial"/>
        <color theme="1"/>
      </rPr>
      <t xml:space="preserve">Stay updated on today's top matches #GoldPari #GameUpdates
</t>
    </r>
    <r>
      <rPr>
        <rFont val="Arial"/>
        <b/>
        <color theme="1"/>
      </rPr>
      <t xml:space="preserve">IMAGE DECRIPTION: </t>
    </r>
    <r>
      <rPr>
        <rFont val="Arial"/>
        <color theme="1"/>
      </rPr>
      <t xml:space="preserve">A live scoreboard or image from the ended matches of the top leagues
</t>
    </r>
    <r>
      <rPr>
        <rFont val="Arial"/>
        <b/>
        <color theme="1"/>
      </rPr>
      <t xml:space="preserve">CAPTION: </t>
    </r>
    <r>
      <rPr>
        <rFont val="Arial"/>
        <color theme="1"/>
      </rPr>
      <t>Get updates on tonight’s matches. #GoldPari #GameUpdates</t>
    </r>
  </si>
  <si>
    <t>https://goldpari.com/bonus/rules/birthday</t>
  </si>
  <si>
    <t>20th August</t>
  </si>
  <si>
    <t>Tuesday</t>
  </si>
  <si>
    <r>
      <rPr/>
      <t xml:space="preserve">1. Post (Morning)
</t>
    </r>
    <r>
      <rPr>
        <b/>
      </rPr>
      <t xml:space="preserve">COPY IN IMAGE: </t>
    </r>
    <r>
      <rPr/>
      <t xml:space="preserve">Good Morning, Ghana! Welcome to Gold Pari! Start betting today and let the wins begin. #GoldPari #Welcome
</t>
    </r>
    <r>
      <rPr>
        <b/>
      </rPr>
      <t xml:space="preserve">IMAGE DECRIPTION: </t>
    </r>
    <r>
      <rPr/>
      <t xml:space="preserve">A bright, welcoming image with the Gold Pari logo and happy sports fans.
</t>
    </r>
    <r>
      <rPr>
        <b/>
      </rPr>
      <t xml:space="preserve">CAPTION: </t>
    </r>
    <r>
      <rPr/>
      <t>Welcome to Gold Pari! Start your journey today. [</t>
    </r>
    <r>
      <rPr>
        <color rgb="FF1155CC"/>
        <u/>
      </rPr>
      <t>https://goldpari.com/?tag=d_3556679m_69627</t>
    </r>
    <r>
      <rPr/>
      <t>] #GoldPari #Welcome</t>
    </r>
  </si>
  <si>
    <r>
      <rPr>
        <rFont val="Arial"/>
        <color theme="1"/>
      </rPr>
      <t xml:space="preserve">2. Football Post (Afternoon)
</t>
    </r>
    <r>
      <rPr>
        <rFont val="Arial"/>
        <b/>
        <color theme="1"/>
      </rPr>
      <t xml:space="preserve">COPY IN IMAGE: </t>
    </r>
    <r>
      <rPr>
        <rFont val="Arial"/>
        <color theme="1"/>
      </rPr>
      <t xml:space="preserve">Champions League Qualifiers today—don’t miss the action! #GoldPari #ChampionsLeague
</t>
    </r>
    <r>
      <rPr>
        <rFont val="Arial"/>
        <b/>
        <color theme="1"/>
      </rPr>
      <t xml:space="preserve">IMAGE DECRIPTION: </t>
    </r>
    <r>
      <rPr>
        <rFont val="Arial"/>
        <color theme="1"/>
      </rPr>
      <t xml:space="preserve">An action shot of a Champions League Qualifier match
</t>
    </r>
    <r>
      <rPr>
        <rFont val="Arial"/>
        <b/>
        <color theme="1"/>
      </rPr>
      <t xml:space="preserve">CAPTION: </t>
    </r>
    <r>
      <rPr>
        <rFont val="Arial"/>
        <color theme="1"/>
      </rPr>
      <t>Who will advance? Bet on the Champions League Qualifiers now! #GoldPari #ChampionsLeague</t>
    </r>
  </si>
  <si>
    <t>Accumulator of the Day
Boost your odds by 10%! 🏆
Daily, we pick top events and combine them into winning Accumulators. If your Accumulator of the Day wins, enjoy a 10% odds boost!
Place Your Bets Now!</t>
  </si>
  <si>
    <t>https://goldpari.com/bonus/rules/express</t>
  </si>
  <si>
    <r>
      <rPr>
        <rFont val="Arial"/>
        <color theme="1"/>
      </rPr>
      <t xml:space="preserve">3. Trivia Post (Evening)
</t>
    </r>
    <r>
      <rPr>
        <rFont val="Arial"/>
        <b/>
        <color theme="1"/>
      </rPr>
      <t xml:space="preserve">COPY IN IMAGE: </t>
    </r>
    <r>
      <rPr>
        <rFont val="Arial"/>
        <color theme="1"/>
      </rPr>
      <t xml:space="preserve">Evening trivia! Which team has won the most UEFA Champions League titles? #GoldPari #FootballTrivia
</t>
    </r>
    <r>
      <rPr>
        <rFont val="Arial"/>
        <b/>
        <color theme="1"/>
      </rPr>
      <t xml:space="preserve">IMAGE DECRIPTION: </t>
    </r>
    <r>
      <rPr>
        <rFont val="Arial"/>
        <color theme="1"/>
      </rPr>
      <t xml:space="preserve">A quiz card with a question about UEFA Champions League history.
</t>
    </r>
    <r>
      <rPr>
        <rFont val="Arial"/>
        <b/>
        <color theme="1"/>
      </rPr>
      <t xml:space="preserve">CAPTION: </t>
    </r>
    <r>
      <rPr>
        <rFont val="Arial"/>
        <color theme="1"/>
      </rPr>
      <t>Test your football knowledge! Answer and let's have fun. #GoldPari #QuizTime</t>
    </r>
  </si>
  <si>
    <t>21st August</t>
  </si>
  <si>
    <t>Wednesday</t>
  </si>
  <si>
    <t>Lawrence</t>
  </si>
  <si>
    <r>
      <rPr/>
      <t xml:space="preserve">1. Welcome Post (Morning)
</t>
    </r>
    <r>
      <rPr>
        <b/>
      </rPr>
      <t xml:space="preserve">COPY IN IMAGE: </t>
    </r>
    <r>
      <rPr/>
      <t xml:space="preserve">Good Morning, Ghana! Another day, another chance to win big with Gold Pari. #GoldPari #Welcome
</t>
    </r>
    <r>
      <rPr>
        <b/>
      </rPr>
      <t>IMAGE DECRIPTION:</t>
    </r>
    <r>
      <rPr/>
      <t xml:space="preserve"> A warm and inviting welcome image with the Gold Pari logo.
</t>
    </r>
    <r>
      <rPr>
        <b/>
      </rPr>
      <t xml:space="preserve">CAPTION: </t>
    </r>
    <r>
      <rPr/>
      <t xml:space="preserve">Start your day with Gold Pari!  </t>
    </r>
    <r>
      <rPr>
        <color rgb="FF1155CC"/>
        <u/>
      </rPr>
      <t>https://goldpari.com/?tag=d_3556679m_69627</t>
    </r>
    <r>
      <rPr/>
      <t>] #GoldPari #Welcome</t>
    </r>
  </si>
  <si>
    <t>Bonus for a Losing Streak
Goldpari has your back during tough times with a special bonus for a series of losing bets! 
We've got you covered when luck isn’t on your side. Earn a bonus when you hit a series of losing bets!
Play Now</t>
  </si>
  <si>
    <t>https://goldpari.com/bonus/rules/loss20</t>
  </si>
  <si>
    <r>
      <rPr>
        <rFont val="Arial"/>
        <color theme="1"/>
      </rPr>
      <t xml:space="preserve">2. Betting odds (Midday)
</t>
    </r>
    <r>
      <rPr>
        <rFont val="Arial"/>
        <b/>
        <color theme="1"/>
      </rPr>
      <t xml:space="preserve">COPY IN IMAGE </t>
    </r>
    <r>
      <rPr>
        <rFont val="Arial"/>
        <color theme="1"/>
      </rPr>
      <t xml:space="preserve">
Get the best odds for Clampions league Qualifiers today on Gold Pari
</t>
    </r>
    <r>
      <rPr>
        <rFont val="Arial"/>
        <b/>
        <color theme="1"/>
      </rPr>
      <t>IMAGE DESCRIPTION</t>
    </r>
    <r>
      <rPr>
        <rFont val="Arial"/>
        <color theme="1"/>
      </rPr>
      <t xml:space="preserve">
The selected odds of the Clampions league Qualifiers
</t>
    </r>
    <r>
      <rPr>
        <rFont val="Arial"/>
        <b/>
        <color theme="1"/>
      </rPr>
      <t xml:space="preserve">CAPTION
</t>
    </r>
    <r>
      <rPr>
        <rFont val="Arial"/>
        <color theme="1"/>
      </rPr>
      <t>Our odds are your best chance to win #GoldPari #BestOdds</t>
    </r>
  </si>
  <si>
    <r>
      <rPr>
        <rFont val="Arial"/>
        <color theme="1"/>
      </rPr>
      <t xml:space="preserve">3. Engament Post (Afternoon)
</t>
    </r>
    <r>
      <rPr>
        <rFont val="Arial"/>
        <b/>
        <color theme="1"/>
      </rPr>
      <t xml:space="preserve">COPY IN IMAGE: </t>
    </r>
    <r>
      <rPr>
        <rFont val="Arial"/>
        <color theme="1"/>
      </rPr>
      <t xml:space="preserve">Who won the inaugural UEFA Conference League? Comment to win a bonus! #GoldPari #FootballTrivia
</t>
    </r>
    <r>
      <rPr>
        <rFont val="Arial"/>
        <b/>
        <color theme="1"/>
      </rPr>
      <t xml:space="preserve">IMAGE DECRIPTION: </t>
    </r>
    <r>
      <rPr>
        <rFont val="Arial"/>
        <color theme="1"/>
      </rPr>
      <t xml:space="preserve">A quiz card with a question about the UEFA Conference League.
</t>
    </r>
    <r>
      <rPr>
        <rFont val="Arial"/>
        <b/>
        <color theme="1"/>
      </rPr>
      <t xml:space="preserve">CAPTION: </t>
    </r>
    <r>
      <rPr>
        <rFont val="Arial"/>
        <color theme="1"/>
      </rPr>
      <t>Test your football knowledge with GoldPari!. #GoldPari #QuizTime</t>
    </r>
  </si>
  <si>
    <r>
      <rPr>
        <rFont val="Arial"/>
        <color theme="1"/>
      </rPr>
      <t xml:space="preserve">4. Game Updates (Evening)
</t>
    </r>
    <r>
      <rPr>
        <rFont val="Arial"/>
        <b/>
        <color theme="1"/>
      </rPr>
      <t xml:space="preserve">COPY IN IMAGE: </t>
    </r>
    <r>
      <rPr>
        <rFont val="Arial"/>
        <color theme="1"/>
      </rPr>
      <t xml:space="preserve">Stay updated on today's top matches #GoldPari #GameUpdates
</t>
    </r>
    <r>
      <rPr>
        <rFont val="Arial"/>
        <b/>
        <color theme="1"/>
      </rPr>
      <t xml:space="preserve">IMAGE DECRIPTION: </t>
    </r>
    <r>
      <rPr>
        <rFont val="Arial"/>
        <color theme="1"/>
      </rPr>
      <t xml:space="preserve">A live scoreboard or image from the ended matches of the top leagues
</t>
    </r>
    <r>
      <rPr>
        <rFont val="Arial"/>
        <b/>
        <color theme="1"/>
      </rPr>
      <t xml:space="preserve">CAPTION: </t>
    </r>
    <r>
      <rPr>
        <rFont val="Arial"/>
        <color theme="1"/>
      </rPr>
      <t>Get updates on tonight’s matches. #GoldPari #GameUpdates</t>
    </r>
  </si>
  <si>
    <t>Level Up with Our Loyalty Program!
Start at Level 1 (Copper) and elevate your game to unlock bigger cashback rewards. The more you play, the higher you go!
Top-tier players enjoy exclusive offers, VIP support, and cashback on every bet—win or lose.
Join Now and Start Earning!
Terms apply.</t>
  </si>
  <si>
    <t>https://goldpari.com/bonus/rules/vip_cashback</t>
  </si>
  <si>
    <t>22nd August</t>
  </si>
  <si>
    <r>
      <rPr>
        <rFont val="Arial"/>
        <color theme="1"/>
      </rPr>
      <t xml:space="preserve">1. Post (Morning)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</si>
  <si>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 xml:space="preserve">Welcome to Gold Pari
Here is your welcome package of upto 6183701UGX
</t>
  </si>
  <si>
    <r>
      <rPr>
        <rFont val="Arial"/>
        <color theme="1"/>
      </rPr>
      <t xml:space="preserve">2. Post (Midday)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</si>
  <si>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 xml:space="preserve">HEADER: THE GOLD PARI VIP CASHBACK
BODY COPY: Here is a chance to join our loyalty program and VIP cashback
</t>
  </si>
  <si>
    <r>
      <rPr>
        <rFont val="Arial"/>
        <color theme="1"/>
      </rPr>
      <t xml:space="preserve">2. Post (Afternoon)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</si>
  <si>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 xml:space="preserve">HEADER : We got your back. 
BODY COPY: Leero Kiganye? Don’t worry we have a bonus for you
</t>
  </si>
  <si>
    <r>
      <rPr>
        <rFont val="Arial"/>
        <color theme="1"/>
      </rPr>
      <t xml:space="preserve">2. Post (Evening)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</si>
  <si>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23rd August</t>
  </si>
  <si>
    <t>FRIDAY</t>
  </si>
  <si>
    <t xml:space="preserve">Saturday’s here! Check out today’s fixtures on GoldPari
Image description: A list of Saturday’s football fixtures.
</t>
  </si>
  <si>
    <r>
      <rPr>
        <rFont val="Arial"/>
        <color theme="1"/>
      </rPr>
      <t xml:space="preserve">1. Post (Morning)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</si>
  <si>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r>
      <rPr>
        <rFont val="Arial"/>
        <color theme="1"/>
      </rPr>
      <t xml:space="preserve">2. Post (Afternoon)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</si>
  <si>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Benyin-Amo Gideon</t>
  </si>
  <si>
    <r>
      <rPr>
        <rFont val="Arial"/>
        <color theme="1"/>
      </rPr>
      <t xml:space="preserve">2. Post (Evening)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</si>
  <si>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West Ham vs. Man City today. Who’s your pick?
(Image description: West Ham vs. Man City today logos with match details.)</t>
  </si>
  <si>
    <t>24th August</t>
  </si>
  <si>
    <t>SATURDAY</t>
  </si>
  <si>
    <t>Proposed Date</t>
  </si>
  <si>
    <t xml:space="preserve">Copy: Another Super Sunday! Get your bets in early.
Image description: A football with a sunrise background
</t>
  </si>
  <si>
    <r>
      <rPr>
        <rFont val="Arial"/>
        <color theme="1"/>
      </rPr>
      <t xml:space="preserve">1. Post (Morning)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</si>
  <si>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r>
      <rPr>
        <rFont val="Arial"/>
        <color theme="1"/>
      </rPr>
      <t xml:space="preserve">2. Post (Midday)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</si>
  <si>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 xml:space="preserve">Copy: Manchester United vs. Liverpool today. Check the odds.
Image description: Manchester United vs. Liverpool logos with match odds.
</t>
  </si>
  <si>
    <t xml:space="preserve">Ogenyi Samuel </t>
  </si>
  <si>
    <t>Morning</t>
  </si>
  <si>
    <r>
      <rPr>
        <rFont val="Arial"/>
        <color theme="1"/>
      </rPr>
      <t xml:space="preserve">2. Post (Afternoon)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</si>
  <si>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WhatsApp &amp; Telegram</t>
  </si>
  <si>
    <t>Image Description: An Abstract Football Picture in a Football Field</t>
  </si>
  <si>
    <t>Image Engagement</t>
  </si>
  <si>
    <r>
      <rPr>
        <rFont val="Arial"/>
        <color theme="1"/>
      </rPr>
      <t xml:space="preserve">2. Post (Evening)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</si>
  <si>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Image Description: Champions League Teams Spot Table, Based on their various hierarchy &amp; accumulated spot points for the upcoming Champions League Draw</t>
  </si>
  <si>
    <t>25th August</t>
  </si>
  <si>
    <t>SUNDAY</t>
  </si>
  <si>
    <t xml:space="preserve">Image Description: Transfer News on the Speculation of the Africa Best Player Moving to Saudi Pro League on a Transfer Record Deal! </t>
  </si>
  <si>
    <t>Chris</t>
  </si>
  <si>
    <t>Enticing Ugandans that are interested in betting to join the Gold Pari community both on Whatsapp and Telegram</t>
  </si>
  <si>
    <t xml:space="preserve">https://docs.google.com/document/d/1Ev9izPQtROHM9tm_sNXkh5J7ZHCfDbRUDqm3-mQzWoQ/edit?usp=sharing </t>
  </si>
  <si>
    <r>
      <rPr>
        <rFont val="Arial"/>
        <color theme="1"/>
      </rPr>
      <t xml:space="preserve">1. Post (Morning)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</si>
  <si>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r>
      <rPr>
        <rFont val="Roboto Serif"/>
        <b/>
        <color theme="1"/>
        <u/>
      </rPr>
      <t xml:space="preserve"> MORNING  [ INTRO ]</t>
    </r>
    <r>
      <rPr>
        <rFont val="Roboto Serif"/>
        <color theme="1"/>
      </rPr>
      <t xml:space="preserve">
</t>
    </r>
    <r>
      <rPr>
        <rFont val="Roboto Serif"/>
        <b/>
        <i/>
        <color theme="1"/>
        <u/>
      </rPr>
      <t>COPY IN IMAGE</t>
    </r>
    <r>
      <rPr>
        <rFont val="Roboto Serif"/>
        <color theme="1"/>
      </rPr>
      <t xml:space="preserve">
 Excited about the upcoming weekend fixtures —Gold Pari is here! Ready to turn your passion for sports into winnings? Join us now for the ultimate betting experience. #GoldPari #BetOnWinning!"
</t>
    </r>
    <r>
      <rPr>
        <rFont val="Roboto Serif"/>
        <b/>
        <color theme="1"/>
        <u/>
      </rPr>
      <t>IMAGE DESCRIPTION</t>
    </r>
    <r>
      <rPr>
        <rFont val="Roboto Serif"/>
        <color theme="1"/>
      </rPr>
      <t xml:space="preserve">
A Passionate demonstration of zeal, determination and happiness, with a dynamic overlay of Gold Pari's logo and a football in motion, symbolizing the start of a thrilling journey.
</t>
    </r>
    <r>
      <rPr>
        <rFont val="Roboto Serif"/>
        <b/>
        <color theme="1"/>
        <u/>
      </rPr>
      <t>CAPTION</t>
    </r>
    <r>
      <rPr>
        <rFont val="Roboto Serif"/>
        <color theme="1"/>
      </rPr>
      <t xml:space="preserve">
A NEW Gold is in TOWN!! 🌞 Gold Pari is here to kickstart your winning streak. Are you ready to bet on your passion? Start by visiting Gold Pari](https://goldpari.com/ and signing up to join the winning league.</t>
    </r>
  </si>
  <si>
    <t>C.M</t>
  </si>
  <si>
    <t>Pending</t>
  </si>
  <si>
    <t>-----------------</t>
  </si>
  <si>
    <t>8:00am - 11:30am WAT</t>
  </si>
  <si>
    <t>Mid-day</t>
  </si>
  <si>
    <t xml:space="preserve">Image: Gold Pari Westham vs Mancity 
Who's your pick? Premier League Weekend is Back! </t>
  </si>
  <si>
    <t>Chris Lutta</t>
  </si>
  <si>
    <r>
      <rPr>
        <rFont val="Roboto Serif"/>
        <color theme="1"/>
      </rPr>
      <t xml:space="preserve"> 2. </t>
    </r>
    <r>
      <rPr>
        <rFont val="Roboto Serif"/>
        <i/>
        <color theme="1"/>
      </rPr>
      <t>Awareness Post</t>
    </r>
    <r>
      <rPr>
        <rFont val="Roboto Serif"/>
        <color theme="1"/>
      </rPr>
      <t xml:space="preserve"> </t>
    </r>
    <r>
      <rPr>
        <rFont val="Roboto Serif"/>
        <b/>
        <color theme="1"/>
      </rPr>
      <t xml:space="preserve">Midday </t>
    </r>
    <r>
      <rPr>
        <rFont val="Roboto Serif"/>
        <color theme="1"/>
      </rPr>
      <t xml:space="preserve">
</t>
    </r>
    <r>
      <rPr>
        <rFont val="Roboto Serif"/>
        <b/>
        <color theme="1"/>
        <u/>
      </rPr>
      <t>COPY IN IMAGE</t>
    </r>
    <r>
      <rPr>
        <rFont val="Roboto Serif"/>
        <color theme="1"/>
      </rPr>
      <t xml:space="preserve">
 Take a break and dive into the world of sports betting with Gold Pari. Big wins await you. SUPER EXCITED! #GoldPari #BettingMadeEasy
</t>
    </r>
    <r>
      <rPr>
        <rFont val="Roboto Serif"/>
        <b/>
        <color theme="1"/>
        <u/>
      </rPr>
      <t>IMAGE DESCRIPTION</t>
    </r>
    <r>
      <rPr>
        <rFont val="Roboto Serif"/>
        <color theme="1"/>
      </rPr>
      <t xml:space="preserve">
A Group of youth in similar indigious colors, with friends enjoying or hanging a sport arena while checking their phones, the Gold Pari app visible on the screen.
</t>
    </r>
    <r>
      <rPr>
        <rFont val="Roboto Serif"/>
        <b/>
        <color theme="1"/>
        <u/>
      </rPr>
      <t>CAPTION</t>
    </r>
    <r>
      <rPr>
        <rFont val="Roboto Serif"/>
        <color theme="1"/>
      </rPr>
      <t xml:space="preserve">
Midday thrill! As you enjoy your lunch, why not spice up your day with some winning bets? Join Gold Pari now and make every moment count! 🔗 [Insert Sign-Up Link] #GoldPari #LunchBreak #WinningStreak</t>
    </r>
  </si>
  <si>
    <r>
      <rPr>
        <rFont val="Arial"/>
        <color theme="1"/>
      </rPr>
      <t xml:space="preserve">2. Post (Midday)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</si>
  <si>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t>
  </si>
  <si>
    <t>Creating Buzz around the Premier League happening over the weekend from 31st August to 1st September</t>
  </si>
  <si>
    <t>12:00pm - 4:50pm WAT</t>
  </si>
  <si>
    <t>https://docs.google.com/document/d/1l6JdvyTRpv2An0dwlmCnchdxR8-02qB9JuSiKgHRTBw/edit?usp=drivesdk</t>
  </si>
  <si>
    <t>Evening</t>
  </si>
  <si>
    <r>
      <rPr>
        <rFont val="Arial"/>
        <color theme="1"/>
      </rPr>
      <t xml:space="preserve">2. Post (Afternoon)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</si>
  <si>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r>
      <rPr>
        <rFont val="Arial"/>
        <color theme="1"/>
      </rPr>
      <t xml:space="preserve">2. Post (Evening)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</si>
  <si>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26th August</t>
  </si>
  <si>
    <t>MONDAY</t>
  </si>
  <si>
    <r>
      <rPr>
        <rFont val="Arial"/>
        <color theme="1"/>
      </rPr>
      <t xml:space="preserve">1. Post (Morning)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</si>
  <si>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r>
      <rPr>
        <rFont val="Roboto Serif"/>
        <b/>
        <color theme="1"/>
        <u/>
      </rPr>
      <t xml:space="preserve">Engagement Post </t>
    </r>
    <r>
      <rPr>
        <rFont val="Roboto Serif"/>
        <color theme="1"/>
      </rPr>
      <t xml:space="preserve">
</t>
    </r>
    <r>
      <rPr>
        <rFont val="Roboto Serif"/>
        <b/>
        <color theme="1"/>
        <u/>
      </rPr>
      <t>COPY IN IMAGE</t>
    </r>
    <r>
      <rPr>
        <rFont val="Roboto Serif"/>
        <color theme="1"/>
      </rPr>
      <t xml:space="preserve">
What’s your favourite sport to bet on?
</t>
    </r>
    <r>
      <rPr>
        <rFont val="Roboto Serif"/>
        <b/>
        <color theme="1"/>
        <u/>
      </rPr>
      <t>IMAGE DESCRIPTION</t>
    </r>
    <r>
      <rPr>
        <rFont val="Roboto Serif"/>
        <color theme="1"/>
      </rPr>
      <t xml:space="preserve">
A dynamic image Top Football League Logos together, with a subtle background of football favorite players in the various leagues, showcasing the variety of leagues available on Gold Pari.
</t>
    </r>
    <r>
      <rPr>
        <rFont val="Roboto Serif"/>
        <b/>
        <color theme="1"/>
        <u/>
      </rPr>
      <t>CAPTION</t>
    </r>
    <r>
      <rPr>
        <rFont val="Roboto Serif"/>
        <color theme="1"/>
      </rPr>
      <t xml:space="preserve">
What’s your favorite league to bet on? Let’s hear it in the comments! Share your picks and connect with other like minded people. [ Possibile Recap of the Weekly Betting Predictions and Interactions ] #GoldPari </t>
    </r>
  </si>
  <si>
    <r>
      <rPr>
        <rFont val="Arial"/>
        <color theme="1"/>
      </rPr>
      <t xml:space="preserve">2. Post (Afternoon)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</si>
  <si>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5:00pm - Dawn</t>
  </si>
  <si>
    <t xml:space="preserve">Ogenyi </t>
  </si>
  <si>
    <t xml:space="preserve">FOOTBALL TRANSFER DEADLINE DAY DRAMA! </t>
  </si>
  <si>
    <r>
      <rPr>
        <rFont val="Arial"/>
        <color theme="1"/>
      </rPr>
      <t xml:space="preserve">2. Post (Evening)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</si>
  <si>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27th August</t>
  </si>
  <si>
    <t xml:space="preserve">Over 1.5 &amp; G.G odds on Saturday EPL Fixtures </t>
  </si>
  <si>
    <t xml:space="preserve">Image Description : Bayern Leverkusen logo or Coach with Statistics by the side of the picture. 
Content Caption: What a Run! Unbeaten run comes to an End after a defeat from 10men RB Leipzig </t>
  </si>
  <si>
    <r>
      <rPr>
        <rFont val="Roboto Serif"/>
        <b/>
        <u/>
      </rPr>
      <t xml:space="preserve"> MORNING  [ INTRO ]</t>
    </r>
    <r>
      <rPr>
        <rFont val="Roboto Serif"/>
      </rPr>
      <t xml:space="preserve">
</t>
    </r>
    <r>
      <rPr>
        <rFont val="Roboto Serif"/>
        <b/>
        <i/>
        <u/>
      </rPr>
      <t>COPY IN IMAGE</t>
    </r>
    <r>
      <rPr>
        <rFont val="Roboto Serif"/>
      </rPr>
      <t xml:space="preserve">
 WEEKEND IS HERE! —Gold Pari is here! Ready to turn your passion for sports into winnings? Join us now for the ultimate betting experience. #GoldPari #BetOnWinning!"
</t>
    </r>
    <r>
      <rPr>
        <rFont val="Roboto Serif"/>
        <b/>
        <u/>
      </rPr>
      <t>IMAGE DESCRIPTION</t>
    </r>
    <r>
      <rPr>
        <rFont val="Roboto Serif"/>
      </rPr>
      <t xml:space="preserve">
Image of a Top Sport event for the Weekend with Time indication! The Particular Events Available for Selection on Gold </t>
    </r>
    <r>
      <rPr>
        <rFont val="Roboto Serif"/>
        <color rgb="FF1155CC"/>
        <u/>
      </rPr>
      <t>Pari.com</t>
    </r>
    <r>
      <rPr>
        <rFont val="Roboto Serif"/>
      </rPr>
      <t xml:space="preserve">
</t>
    </r>
    <r>
      <rPr>
        <rFont val="Roboto Serif"/>
        <b/>
        <u/>
      </rPr>
      <t>CAPTION</t>
    </r>
    <r>
      <rPr>
        <rFont val="Roboto Serif"/>
      </rPr>
      <t xml:space="preserve">
A NEW Gold is in TOWN!! 🌞 Gold Pari is here to kickstart your winning streak. Are you ready to bet on your passion? Start by visiting Gold Pari](https://goldpari.com/ and signing up to join the winning league.</t>
    </r>
  </si>
  <si>
    <r>
      <rPr>
        <rFont val="Arial"/>
        <color theme="1"/>
      </rPr>
      <t xml:space="preserve">1. Post (Morning)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</si>
  <si>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 xml:space="preserve">Image Description of Top Basket Ball Teams Teams with a countdown
NBA countdown! </t>
  </si>
  <si>
    <r>
      <rPr>
        <rFont val="Arial"/>
        <color theme="1"/>
      </rPr>
      <t xml:space="preserve">2. Post (Midday)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</si>
  <si>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Gideon Amo</t>
  </si>
  <si>
    <t>Bet on the upcoming African Cup of Nations Qualifiers 
Comoros vs Gambia
Libya vs Rwanda
Tanzania vs Ethiopia
Sudan vs Niger
(National flags with their odds)</t>
  </si>
  <si>
    <r>
      <rPr>
        <rFont val="Arial"/>
        <color theme="1"/>
      </rPr>
      <t xml:space="preserve">2. Post (Afternoon)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</si>
  <si>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https://t.me/Africa22Bet/1233</t>
  </si>
  <si>
    <r>
      <rPr>
        <rFont val="Arial"/>
        <color theme="1"/>
      </rPr>
      <t xml:space="preserve">2. Post (Evening)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</si>
  <si>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28st August</t>
  </si>
  <si>
    <r>
      <rPr>
        <rFont val="Arial"/>
        <color theme="1"/>
      </rPr>
      <t xml:space="preserve">1. Post (Morning)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</si>
  <si>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r>
      <rPr>
        <rFont val="Arial"/>
        <color theme="1"/>
      </rPr>
      <t xml:space="preserve">2. Post (Midday)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</si>
  <si>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Bet on UEFA Nations League Qualifiers
Portugal vs Croatia
Serbia vs Spain
Scotland vs Poland
Denmark vs Switzerland
(with national flags and odds)</t>
  </si>
  <si>
    <r>
      <rPr>
        <rFont val="Arial"/>
        <color theme="1"/>
      </rPr>
      <t xml:space="preserve">2. Post (Afternoon)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</si>
  <si>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 xml:space="preserve">Ghana vs Angola
Who will win this match
(picture of 1 player from each nations facing each other with the odds displaying)
</t>
  </si>
  <si>
    <t>https://t.me/Africa22Bet/1230</t>
  </si>
  <si>
    <r>
      <rPr>
        <rFont val="Arial"/>
        <color theme="1"/>
      </rPr>
      <t xml:space="preserve">2. Post (Evening)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</si>
  <si>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29th August</t>
  </si>
  <si>
    <r>
      <rPr>
        <rFont val="Roboto Serif"/>
        <color theme="1"/>
      </rPr>
      <t xml:space="preserve"> 2. </t>
    </r>
    <r>
      <rPr>
        <rFont val="Roboto Serif"/>
        <i/>
        <color theme="1"/>
      </rPr>
      <t>Awareness Post</t>
    </r>
    <r>
      <rPr>
        <rFont val="Roboto Serif"/>
        <color theme="1"/>
      </rPr>
      <t xml:space="preserve"> </t>
    </r>
    <r>
      <rPr>
        <rFont val="Roboto Serif"/>
        <b/>
        <color theme="1"/>
      </rPr>
      <t xml:space="preserve">Midday </t>
    </r>
    <r>
      <rPr>
        <rFont val="Roboto Serif"/>
        <color theme="1"/>
      </rPr>
      <t xml:space="preserve">
</t>
    </r>
    <r>
      <rPr>
        <rFont val="Roboto Serif"/>
        <b/>
        <color theme="1"/>
        <u/>
      </rPr>
      <t>COPY IN IMAGE</t>
    </r>
    <r>
      <rPr>
        <rFont val="Roboto Serif"/>
        <color theme="1"/>
      </rPr>
      <t xml:space="preserve">
 Take a break and dive into the world of sports betting with Gold Pari. Big wins await you. SUPER EXCITED! #GoldPari #BettingMadeEasy
</t>
    </r>
    <r>
      <rPr>
        <rFont val="Roboto Serif"/>
        <b/>
        <color theme="1"/>
        <u/>
      </rPr>
      <t>IMAGE DESCRIPTION</t>
    </r>
    <r>
      <rPr>
        <rFont val="Roboto Serif"/>
        <color theme="1"/>
      </rPr>
      <t xml:space="preserve">
A Group of youth in similar indigious colors, with friends enjoying or hanging a sport arena while checking their phones, the Gold Pari app visible on the screen.
</t>
    </r>
    <r>
      <rPr>
        <rFont val="Roboto Serif"/>
        <b/>
        <color theme="1"/>
        <u/>
      </rPr>
      <t>CAPTION</t>
    </r>
    <r>
      <rPr>
        <rFont val="Roboto Serif"/>
        <color theme="1"/>
      </rPr>
      <t xml:space="preserve">
Midday thrill! As you enjoy your lunch, why not spice up your day with some winning bets? Join Gold Pari now and make every moment count! 🔗 [Insert Sign-Up Link] #GoldPari #LunchBreak #WinningStreak</t>
    </r>
  </si>
  <si>
    <t xml:space="preserve">Image Description: Professional Company Logo in various shapes and Company Logo Banner if possible </t>
  </si>
  <si>
    <r>
      <rPr>
        <rFont val="Arial"/>
        <color theme="1"/>
      </rPr>
      <t xml:space="preserve">1. Post (Morning)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</si>
  <si>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 xml:space="preserve">Image Description: Gold Pari posters with some showcasing discounts on all virtual, online, sport betting and casino platforms </t>
  </si>
  <si>
    <r>
      <rPr>
        <rFont val="Arial"/>
        <color theme="1"/>
      </rPr>
      <t xml:space="preserve">2. Post (Midday)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</si>
  <si>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 xml:space="preserve">WE ARE Home! 
Nigeria vs Benin
(Godswill Akpabio Staduim)
African Cup of Nations Qualifications
(National flags with their odds) </t>
  </si>
  <si>
    <r>
      <rPr>
        <rFont val="Roboto Serif"/>
        <b/>
        <color theme="1"/>
        <u/>
      </rPr>
      <t xml:space="preserve">Engagement Post </t>
    </r>
    <r>
      <rPr>
        <rFont val="Roboto Serif"/>
        <color theme="1"/>
      </rPr>
      <t xml:space="preserve">
</t>
    </r>
    <r>
      <rPr>
        <rFont val="Roboto Serif"/>
        <b/>
        <color theme="1"/>
        <u/>
      </rPr>
      <t>COPY IN IMAGE</t>
    </r>
    <r>
      <rPr>
        <rFont val="Roboto Serif"/>
        <color theme="1"/>
      </rPr>
      <t xml:space="preserve">
What’s your favourite sport to bet on?
</t>
    </r>
    <r>
      <rPr>
        <rFont val="Roboto Serif"/>
        <b/>
        <color theme="1"/>
        <u/>
      </rPr>
      <t>IMAGE DESCRIPTION</t>
    </r>
    <r>
      <rPr>
        <rFont val="Roboto Serif"/>
        <color theme="1"/>
      </rPr>
      <t xml:space="preserve">
A Recap on the Weekend Top Predictions &amp; site fixtures on Gold Pari Official Websites. 
</t>
    </r>
    <r>
      <rPr>
        <rFont val="Roboto Serif"/>
        <b/>
        <color theme="1"/>
        <u/>
      </rPr>
      <t>CAPTION</t>
    </r>
    <r>
      <rPr>
        <rFont val="Roboto Serif"/>
        <color theme="1"/>
      </rPr>
      <t xml:space="preserve">
DO YOU KNOW! A Tip info on why Goldpari is the reliable sport platform, highlighting key websites fixtrures #GoldPari </t>
    </r>
  </si>
  <si>
    <t>t.me/Africa22Bet/1233</t>
  </si>
  <si>
    <r>
      <rPr>
        <rFont val="Arial"/>
        <color theme="1"/>
      </rPr>
      <t xml:space="preserve">2. Post (Afternoon)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</si>
  <si>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r>
      <rPr>
        <rFont val="Arial"/>
        <color theme="1"/>
      </rPr>
      <t xml:space="preserve">2. Post (Evening)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</si>
  <si>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30th August</t>
  </si>
  <si>
    <t xml:space="preserve">Come On Eagles!
Rwanda vs Nigeria
Who's your Pick!
(picture of one popular player each from both countries with their respective odds) </t>
  </si>
  <si>
    <r>
      <rPr>
        <rFont val="Roboto Serif"/>
        <b/>
        <color theme="1"/>
        <u/>
      </rPr>
      <t xml:space="preserve"> MORNING</t>
    </r>
    <r>
      <rPr>
        <rFont val="Roboto Serif"/>
        <color theme="1"/>
      </rPr>
      <t xml:space="preserve">
</t>
    </r>
    <r>
      <rPr>
        <rFont val="Roboto Serif"/>
        <b/>
        <i/>
        <color theme="1"/>
        <u/>
      </rPr>
      <t>COPY IN IMAGE</t>
    </r>
    <r>
      <rPr>
        <rFont val="Roboto Serif"/>
        <color theme="1"/>
      </rPr>
      <t xml:space="preserve">
 Start your day with excitement—Gold Pari is here! Ready to turn your passion for sports into winnings? Join us now for the ultimate betting experience. #GoldPari #BetOnWinning!"
</t>
    </r>
    <r>
      <rPr>
        <rFont val="Roboto Serif"/>
        <b/>
        <color theme="1"/>
        <u/>
      </rPr>
      <t>IMAGE DESCRIPTION</t>
    </r>
    <r>
      <rPr>
        <rFont val="Roboto Serif"/>
        <color theme="1"/>
      </rPr>
      <t xml:space="preserve">
A Passionate demonstration of zeal, determination and happiness, with a dynamic overlay of Gold Pari's logo and a football in motion, symbolizing the start of a thrilling journey.
</t>
    </r>
    <r>
      <rPr>
        <rFont val="Roboto Serif"/>
        <b/>
        <color theme="1"/>
        <u/>
      </rPr>
      <t>CAPTION</t>
    </r>
    <r>
      <rPr>
        <rFont val="Roboto Serif"/>
        <color theme="1"/>
      </rPr>
      <t xml:space="preserve">
A NEW Gold is in TOWN!! 🌞 Gold Pari is here to kickstart your winning streak. Are you ready to bet on your passion? Start by visiting Gold Pari](https://goldpari.com/ and signing up to join the winning league.</t>
    </r>
  </si>
  <si>
    <t>t.me/Africa22Bet/1230</t>
  </si>
  <si>
    <r>
      <rPr>
        <rFont val="Arial"/>
        <color theme="1"/>
      </rPr>
      <t xml:space="preserve">1. Post (Morning)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</si>
  <si>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r>
      <rPr>
        <rFont val="Arial"/>
        <color theme="1"/>
      </rPr>
      <t xml:space="preserve">2. Post (Afternoon)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</si>
  <si>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Encouraging Ugandans to join the international betting company community platform</t>
  </si>
  <si>
    <t>https://docs.google.com/document/d/1kxzVU0-MvjZFrh1HZhW-KaR08fQojNOufPmafPWsbWk/edit?usp=sharing</t>
  </si>
  <si>
    <r>
      <rPr>
        <rFont val="Arial"/>
        <color theme="1"/>
      </rPr>
      <t xml:space="preserve">2. Post (Evening)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</si>
  <si>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r>
      <rPr>
        <rFont val="Roboto Serif"/>
        <color theme="1"/>
      </rPr>
      <t xml:space="preserve"> 2. </t>
    </r>
    <r>
      <rPr>
        <rFont val="Roboto Serif"/>
        <i/>
        <color theme="1"/>
      </rPr>
      <t>Awareness Post</t>
    </r>
    <r>
      <rPr>
        <rFont val="Roboto Serif"/>
        <color theme="1"/>
      </rPr>
      <t xml:space="preserve"> </t>
    </r>
    <r>
      <rPr>
        <rFont val="Roboto Serif"/>
        <b/>
        <color theme="1"/>
      </rPr>
      <t xml:space="preserve">Midday </t>
    </r>
    <r>
      <rPr>
        <rFont val="Roboto Serif"/>
        <color theme="1"/>
      </rPr>
      <t xml:space="preserve">
</t>
    </r>
    <r>
      <rPr>
        <rFont val="Roboto Serif"/>
        <b/>
        <color theme="1"/>
        <u/>
      </rPr>
      <t>COPY IN IMAGE</t>
    </r>
    <r>
      <rPr>
        <rFont val="Roboto Serif"/>
        <color theme="1"/>
      </rPr>
      <t xml:space="preserve">
 Take a break and dive into the world of sports betting with Gold Pari. Big wins await you. SUPER EXCITED! #GoldPari #BettingMadeEasy
</t>
    </r>
    <r>
      <rPr>
        <rFont val="Roboto Serif"/>
        <b/>
        <color theme="1"/>
        <u/>
      </rPr>
      <t>IMAGE DESCRIPTION</t>
    </r>
    <r>
      <rPr>
        <rFont val="Roboto Serif"/>
        <color theme="1"/>
      </rPr>
      <t xml:space="preserve">
A Group of youth in similar indigious colors, with friends enjoying or hanging a sport arena while checking their phones, the Gold Pari app visible on the screen.
</t>
    </r>
    <r>
      <rPr>
        <rFont val="Roboto Serif"/>
        <b/>
        <color theme="1"/>
        <u/>
      </rPr>
      <t>CAPTION</t>
    </r>
    <r>
      <rPr>
        <rFont val="Roboto Serif"/>
        <color theme="1"/>
      </rPr>
      <t xml:space="preserve">
Midday thrill! As you enjoy your lunch, why not spice up your day with some winning bets? Join Gold Pari now and make every moment count! 🔗 [Insert Sign-Up Link] #GoldPari #LunchBreak #WinningStreak</t>
    </r>
  </si>
  <si>
    <t>31st August</t>
  </si>
  <si>
    <r>
      <rPr>
        <rFont val="Arial"/>
        <color theme="1"/>
      </rPr>
      <t xml:space="preserve">1. Post (Morning)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</si>
  <si>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r>
      <rPr>
        <rFont val="Roboto Serif"/>
        <b/>
        <color theme="1"/>
        <u/>
      </rPr>
      <t xml:space="preserve">Engagement Post </t>
    </r>
    <r>
      <rPr>
        <rFont val="Roboto Serif"/>
        <color theme="1"/>
      </rPr>
      <t xml:space="preserve">
</t>
    </r>
    <r>
      <rPr>
        <rFont val="Roboto Serif"/>
        <b/>
        <color theme="1"/>
        <u/>
      </rPr>
      <t>COPY IN IMAGE</t>
    </r>
    <r>
      <rPr>
        <rFont val="Roboto Serif"/>
        <color theme="1"/>
      </rPr>
      <t xml:space="preserve">
What’s your favourite sport to bet on?
</t>
    </r>
    <r>
      <rPr>
        <rFont val="Roboto Serif"/>
        <b/>
        <color theme="1"/>
        <u/>
      </rPr>
      <t>IMAGE DESCRIPTION</t>
    </r>
    <r>
      <rPr>
        <rFont val="Roboto Serif"/>
        <color theme="1"/>
      </rPr>
      <t xml:space="preserve">
A dynamic image of a set of Top Leading Sport Professionals, with a subtle background of various sports icons, showcasing the variety of sports available on Gold Pari.
</t>
    </r>
    <r>
      <rPr>
        <rFont val="Roboto Serif"/>
        <b/>
        <color theme="1"/>
        <u/>
      </rPr>
      <t>CAPTION</t>
    </r>
    <r>
      <rPr>
        <rFont val="Roboto Serif"/>
        <color theme="1"/>
      </rPr>
      <t xml:space="preserve">
What’s your favorite sport to bet on? Let’s hear it in the comments! Share your picks and connect with other like minded people. [ Possibile Recap of the Weekly Betting Predictions and Interactions ] #GoldPari </t>
    </r>
  </si>
  <si>
    <r>
      <rPr>
        <rFont val="Arial"/>
        <color theme="1"/>
      </rPr>
      <t xml:space="preserve">2. Post (Midday)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</si>
  <si>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 xml:space="preserve">Showcase image of Gold Pari Betting App to join &amp; create an account : Sign up today &amp; get bonus on your first deposit! </t>
  </si>
  <si>
    <t>https://t.me/paripesa_africa/2346</t>
  </si>
  <si>
    <r>
      <rPr>
        <rFont val="Arial"/>
        <color theme="1"/>
      </rPr>
      <t xml:space="preserve">2. Post (Afternoon)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</si>
  <si>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r>
      <rPr>
        <rFont val="Arial"/>
        <color theme="1"/>
      </rPr>
      <t xml:space="preserve">2. Post (Evening)
</t>
    </r>
    <r>
      <rPr>
        <rFont val="Arial"/>
        <b/>
        <color theme="1"/>
      </rPr>
      <t xml:space="preserve">COPY IN IMAGE: </t>
    </r>
    <r>
      <rPr>
        <rFont val="Arial"/>
        <color theme="1"/>
      </rPr>
      <t xml:space="preserve">
</t>
    </r>
    <r>
      <rPr>
        <rFont val="Arial"/>
        <b/>
        <color theme="1"/>
      </rPr>
      <t>IMAGE DECRIPTION:</t>
    </r>
    <r>
      <rPr>
        <rFont val="Arial"/>
        <color theme="1"/>
      </rPr>
      <t xml:space="preserve">
</t>
    </r>
    <r>
      <rPr>
        <rFont val="Arial"/>
        <b/>
        <color theme="1"/>
      </rPr>
      <t xml:space="preserve">CAPTION: </t>
    </r>
  </si>
  <si>
    <t>Start your day with a spin! GoldPari Casino offers a wide range of slot games for you
(A colourful slot machine with reels spinning. or collection of various spin games on the website)</t>
  </si>
  <si>
    <t>Feeling lucky this afternoon? Try your hand at Blackjack or Roulette on GoldPari.
(A Blackjack table and a Roulette wheel with chips)</t>
  </si>
  <si>
    <t>End your day on a high note with GoldPari Casino. Big wins are waiting!
(Gold coins and casino chips falling over a jackpot sign.)</t>
  </si>
  <si>
    <t>Love football? Bet on virtual football leagues with instant results on GoldPari!
(Virtual football match, with players about to kick off)</t>
  </si>
  <si>
    <t>Your evening entertainment is here! Bet on virtual games at any time on GoldPari.
(image of live in-play virtual game)</t>
  </si>
  <si>
    <t>Whether you love virtual sports or casino games, GoldPari has it all!
(Split-screen showing a casino slot machine on one side and a virtual football match on the other.)</t>
  </si>
  <si>
    <t xml:space="preserve">To Encourage Users to Register!
Get a Whooping bonus this Friday on your first deposit &amp; stake on your favorite league matches. 
Deposit now, win &amp; enjoy! </t>
  </si>
  <si>
    <t>https://t.me/Africa22Bet/1280</t>
  </si>
  <si>
    <t xml:space="preserve">Match Day Premier League Saturday Fixtures
Showing the matches and their respective odds </t>
  </si>
  <si>
    <t>https://t.me/PariPesaNigeria/5487</t>
  </si>
  <si>
    <t xml:space="preserve">Match Day LA-Liga Saturday 
Matches with their representatives opponents odds </t>
  </si>
  <si>
    <t>https://t.me/PariPesaNigeria/5488</t>
  </si>
  <si>
    <t>Ogenyi Samuel</t>
  </si>
  <si>
    <t xml:space="preserve">Awareness Post:
Image Description:
Colorful, Captivating &amp; Creative image 
Key Message: Join us Today! Or Join our Global Community. 
WhatsApp &amp; Telegram icons
</t>
  </si>
  <si>
    <t>https://linkfly.to/goldpari</t>
  </si>
  <si>
    <t xml:space="preserve">Best Picks of the Day  
Total Odds (10.15)
 Booking Code: (5G4JH)  
A vibrant image featuring football action shots
</t>
  </si>
  <si>
    <t xml:space="preserve">Best Selections of the Day  
Total Odds (17.19)
 Booking Code: (VMYJH)  
(A dynamic image showing a football stadium filled with cheering fans, team logos)
</t>
  </si>
  <si>
    <t xml:space="preserve">Match of the Day Alert!
Bet Now and Win GOLD
Southampton (4.77) vs Manchester Utd(1.79)
(A high-intensity image featuring a close-up of players from Manchester United and Southampton battling for the ball in a dramatic stadium setting)
</t>
  </si>
  <si>
    <t>"Match of the Day Alert!
Bet Now with GoldPari and Win Now
Tottenham Hotspur (3.09) vs Arsenal(2.41)
(image featuring players from Tottenham Hotspur and Arsenal in a football match action)</t>
  </si>
  <si>
    <t>Copy: It's a big day for football fans! Premier League action is back today.
Image description: A football with a list of Premier League fixtures for the day.</t>
  </si>
  <si>
    <t xml:space="preserve">Image Description : London Derby Tottenham vs Arsenal
Matches fixtures, Odds &amp; Time
</t>
  </si>
  <si>
    <t>The wait is over—Champions League nights are back! Which teams are you backing?
(Champions League trophy with logos of top clubs like Real Madrid, Manchester City, and Bayern Munich.)</t>
  </si>
  <si>
    <t xml:space="preserve">AC Milan vs. Liverpool! 
Get the latest odds and place your bets.
(AC Milan vs. Liverpool logos with match info and odds.)
</t>
  </si>
  <si>
    <t xml:space="preserve">Real Madrid vs Stuttgart!!!
Can the defending Champs start the new format with a win, place your bet now
(Real Madrid vs Stuttgart logos with match info and odds.)
</t>
  </si>
  <si>
    <t xml:space="preserve">Man City vs Inter Milan!!!
Champions league continues, place your bet now with GoldPari
(Man City vs Inter Milan logos with match info and odds.)
</t>
  </si>
  <si>
    <t xml:space="preserve">Galatasaray Istanbul vs Gaziantep FK
Image: Victor Oshimen picture at the side team logos with their respective odds. </t>
  </si>
  <si>
    <t>https://t.me/PariPesaNigeria/5566</t>
  </si>
  <si>
    <t xml:space="preserve">England League Cup EPL
Brighton vs Wolves
Coventry City vs Tottenham
Show Team Logo &amp; odds
</t>
  </si>
  <si>
    <t>Match Day
Champions league logo
Man City vs Inter
PSG vs Girona FC
Brugge vs Borussia D</t>
  </si>
  <si>
    <t>https://t.me/PariPesaNigeria/5573</t>
  </si>
  <si>
    <t>Ready for another thrilling day of football? Premier League and La Liga action await!
(highlighting today’s fixtures)
Westham vs Chelsea
Liverpool vs Bournemouth
Tottenham vs Brentford
Crystal Palace vs Man Utd
Reims vs PSG
Werder Bremen vs Bayern Munich
Juventus vs Napoli
Real Madrid vs Espanyol</t>
  </si>
  <si>
    <t>Super Sunday is here! Get ready for today’s thrilling fixtures!
(A football graphic featuring team logos of the day's matches
Brighton vs Nottingham
Manchester City vs Arsenal
Monaco vs Le Havre
Bayern Leverkusen vs Wolfsburg
Stuttgart vs Dortmund
Roma vs Udinese
Inter vs AC Milan
Villarreal vs Barcelona
Rayo Vallecano vs Atl. Madrid</t>
  </si>
  <si>
    <t>Early kickoff alert! Join us as West Ham faces Chelsea today!
(West Ham and Chelsea  logos with match odds and kickoff time in GMT.)</t>
  </si>
  <si>
    <t>It’s matchday! Liverpool takes on Bournemouth at 2 PM—who will emerge victorious?
(Liverpool and Bournemouth logos with match details and kickoff time.)</t>
  </si>
  <si>
    <t>Get ready for a thrilling clash! Crystal Palace hosts Manchester United at 4:30 PM!
(Crystal Palace and Manchester United logos with match odds and kickoff time.)</t>
  </si>
  <si>
    <t>It’s a Serie A showdown! Juventus takes on Napoli at 4 PM—who will claim the victory?
(Juventus and Napoli logos with match details and kickoff time.)</t>
  </si>
  <si>
    <t>La Liga action! Real Madrid faces Espanyol today at 4 PM—who’s your pick?
(Real Madrid and Espanyol logos with match details and kickoff time.)</t>
  </si>
  <si>
    <t>It’s the big one! Manchester City vs. Arsenal is the match of the day—who will come out on top?
(Manchester City and Arsenal logos with match details (odds and time) and “Match of the Day” banner.</t>
  </si>
  <si>
    <t>The Milan Derby is here! Inter Milan faces AC Milan in a fierce showdown—who will take the city’s bragging rights?
(Inter Milan and AC Milan logos with the San Siro stadium in the background, highlighting the Milan Derby.)</t>
  </si>
  <si>
    <t>Today’s Booking Code of the Day: DSXR6! Use it to maximize your bets on GoldPari with this 14.3 odds
( A graphic featuring the booking code and the odds with eye-catching design elements and a football background.)</t>
  </si>
  <si>
    <t>Sunday’s Booking Code: GL5S6! Enjoy incredible odds of 13.25 on your bets today!
(A vibrant graphic featuring the booking code and odds, set against a football backdrop.)</t>
  </si>
  <si>
    <t>EPIC EPL Fixtures
Man City vs Watford
Wycombe Wanderers vs Aston Villa
Chelsea vs Barrow AFC
Showing the Teams logo and respective betting odds</t>
  </si>
  <si>
    <t>https://t.me/paripesa_africa/2435</t>
  </si>
  <si>
    <t xml:space="preserve">EPIC EFL Fixtures
Man City vs Watford
Wycombe Wanderers vs Aston Villa
Chelsea vs Barrow AFC
Showing the Teams logo and respective betting odds. </t>
  </si>
  <si>
    <t xml:space="preserve">EPIC EFL Fixtures
Arsenal vs Bolton Wanderers
Liverpool vs West Ham
(Team Logos and Respective Odds with match kick up time) </t>
  </si>
  <si>
    <t>Match Day
Man Utd vs FC Twente Enschede
FC Dynamo Kiev vs Lazio
Galatasaray Istanbul vs PAOK Thessaloniki</t>
  </si>
  <si>
    <t>https://t.me/paripesa_africa/2439</t>
  </si>
  <si>
    <t>Gavin</t>
  </si>
  <si>
    <t xml:space="preserve">Top weekend games for Epl Saudi  laliga seriaA  and women soccer America soccer league </t>
  </si>
  <si>
    <t>Telegram and whatsapp and Facebook</t>
  </si>
  <si>
    <t xml:space="preserve">Date </t>
  </si>
  <si>
    <t xml:space="preserve">Match Day
Newcastle United vs Man city
Arsenal vs Leicester City
Chelsea vs Brighton
</t>
  </si>
  <si>
    <t>https://t.me/paripesa_africa/2427</t>
  </si>
  <si>
    <t>Channel</t>
  </si>
  <si>
    <t xml:space="preserve">Publishing </t>
  </si>
  <si>
    <t xml:space="preserve">Super Saturday
Bayern Munich vs Bayern Leverkusen </t>
  </si>
  <si>
    <t>https://t.me/paripesa_africa/2434</t>
  </si>
  <si>
    <t>Early kickoff alert! Newcastle faces Manchester City at 11:30 AM. Who’s your bet on?
(Newcastle and Manchester City logos with match details and match odds)</t>
  </si>
  <si>
    <t xml:space="preserve">It’s Match Day! Here are today’s top fixtures—get ready for some thrilling football action!
Newcastle United vs Man city
Arsenal vs Leicester City
Chelsea vs Brighton
Wolve vs Liverpool
Bayern Munich vs Leverkusen
Genoa vs Juventus
Osasuna vs Barcelona
(A graphic with all the team logos and match times for the day’s key fixtures.)
</t>
  </si>
  <si>
    <t xml:space="preserve">It’s the big one in Germany! Bayern Munich takes on Bayer Leverkusen—who will dominate this Bundesliga clash?
(Bayern Munich and Bayer Leverkusen logos with Allianz Arena in the background, match details and match odds)
</t>
  </si>
  <si>
    <t xml:space="preserve">It’s the Match of the Day! Manchester United faces Tottenham in a Premier League showdown—who’s taking the win?
(Manchester United and Tottenham logos with Old Trafford in the background, match details and match odds)
</t>
  </si>
  <si>
    <t>PROJECT PLAN: UGANDA</t>
  </si>
  <si>
    <t>Gideon AMo</t>
  </si>
  <si>
    <t xml:space="preserve">The Madrid Derby is here! Atletico Madrid faces Real Madrid in a heated La Liga clash. Who will reign supreme in the capital?
(Atletico Madrid and Real Madrid logos with the Wanda Metropolitano stadium in the background, match details and match odds)
</t>
  </si>
  <si>
    <t>Champions League is Back!
Arsenal vs PSG.
20:00pm
Images of the teams logo and odds</t>
  </si>
  <si>
    <t>https://t.me/paripesa_africa/2460</t>
  </si>
  <si>
    <t xml:space="preserve">Match Day 
Champion League
Barcelona vs Young boys
Bayern Leverkusen vs AC Milan
Dortmund vs Celtic
Inter Milan vs Crvena zvazda
</t>
  </si>
  <si>
    <t>Gavin miyambo</t>
  </si>
  <si>
    <t>All of the Above for the Weekend Games</t>
  </si>
  <si>
    <t xml:space="preserve">Weekend special..let's win together </t>
  </si>
  <si>
    <t>Baguma Raymond</t>
  </si>
  <si>
    <t xml:space="preserve">Artwork for each fixture of the top 4 teams across the top four leagues in Europe (Premier league, la liga, Bundesliga and Ligue 1) </t>
  </si>
  <si>
    <t>https://x.com/kiwibet_ug/status/1841156646355050784?t=3UnZsEZ5W8GfX3dGB1_dpw&amp;s=19</t>
  </si>
  <si>
    <t>Planned start date</t>
  </si>
  <si>
    <t>Big matches today across Europe’s top leagues! Here are the selected fixtures to watch out for—who are you backing?
Today's Selected Matches
Crystal Palace vs Liverpool
Arsenal vs Southampton
Manchester City vs Fulham
Real Madrid vs Villarreal
Inter Milan vs Torino
Union Berlin vs Dortmund
Rennes vs Monaco
(Logos of the teams involved with a matchday graphic showing all selected fixtures and kickoff times, GMT))</t>
  </si>
  <si>
    <t>MONDAY  15TH July, 2024</t>
  </si>
  <si>
    <t>Early kickoff alert! Crystal Palace takes on Liverpool at 11:30 AM. Can the Eagles stop the Reds?
(Crystal Palace and Liverpool logos with Selhurst Park in the background, match details and match odds).</t>
  </si>
  <si>
    <t xml:space="preserve">Baguma Raymond </t>
  </si>
  <si>
    <t>Planned end date
3 MONTHS</t>
  </si>
  <si>
    <t>Banner</t>
  </si>
  <si>
    <t>Create a poster that wishes Uganda Happy independence and also  redirect to back to play on Gold pari.</t>
  </si>
  <si>
    <t>https://www.postermywall.com/index.php/art/template/0505446e0d06e6e05df54c0cdfeb077b/uganda-independence-day-design-template</t>
  </si>
  <si>
    <t>October 15th, 2024.</t>
  </si>
  <si>
    <t>Planned Phase 1 Project Length (3 months )</t>
  </si>
  <si>
    <t>111 days</t>
  </si>
  <si>
    <t xml:space="preserve">Workstream: </t>
  </si>
  <si>
    <t>African Cup Of Nations Qualifications
Nigeria vs Libya
Fri.11 Oct
17:00</t>
  </si>
  <si>
    <t>African Cup of Nations Qualifications
Libya vs Nigeria
Tue, 15 Oct
20:00</t>
  </si>
  <si>
    <t xml:space="preserve">Justin Chansa </t>
  </si>
  <si>
    <t xml:space="preserve">Banners </t>
  </si>
  <si>
    <t xml:space="preserve">Kindly prepare banners for me. On all primer league matchs. From 19th to 22se of October </t>
  </si>
  <si>
    <t>Nil</t>
  </si>
  <si>
    <t>Lead:</t>
  </si>
  <si>
    <t>Task Description</t>
  </si>
  <si>
    <t>Owner</t>
  </si>
  <si>
    <t>Planned Start Date</t>
  </si>
  <si>
    <t>Planned End Date</t>
  </si>
  <si>
    <t>Dependencies</t>
  </si>
  <si>
    <t>Estimated Time to Complete (Days)</t>
  </si>
  <si>
    <t>Days to Start Date</t>
  </si>
  <si>
    <t>Actual Start Date</t>
  </si>
  <si>
    <t>Actual End Date</t>
  </si>
  <si>
    <t>Actual Time to Complete (Days)</t>
  </si>
  <si>
    <t>Notes/Links</t>
  </si>
  <si>
    <t>Not Started-Delayed</t>
  </si>
  <si>
    <t>A1</t>
  </si>
  <si>
    <t>A2</t>
  </si>
  <si>
    <t>A3</t>
  </si>
  <si>
    <t>A4</t>
  </si>
  <si>
    <t>A5</t>
  </si>
  <si>
    <t>A6</t>
  </si>
  <si>
    <t>A7</t>
  </si>
  <si>
    <t>Scheduled</t>
  </si>
  <si>
    <t>A8</t>
  </si>
  <si>
    <t>B1</t>
  </si>
  <si>
    <t>B2</t>
  </si>
  <si>
    <t>B3</t>
  </si>
  <si>
    <t>B4</t>
  </si>
  <si>
    <t>B5</t>
  </si>
  <si>
    <t>B6</t>
  </si>
  <si>
    <t>B7</t>
  </si>
  <si>
    <t>B8</t>
  </si>
  <si>
    <t>B9</t>
  </si>
  <si>
    <t>B10</t>
  </si>
  <si>
    <t>B11</t>
  </si>
  <si>
    <t>B12</t>
  </si>
  <si>
    <t>B13</t>
  </si>
  <si>
    <t>C1</t>
  </si>
  <si>
    <t>PROJECT PLAN: GHANA</t>
  </si>
  <si>
    <t>C2</t>
  </si>
  <si>
    <t>C3</t>
  </si>
  <si>
    <t>C4</t>
  </si>
  <si>
    <t>C5</t>
  </si>
  <si>
    <t>C7</t>
  </si>
  <si>
    <t>C8</t>
  </si>
  <si>
    <t>C9</t>
  </si>
  <si>
    <t>Actual Start Date Start Date</t>
  </si>
  <si>
    <t>D1</t>
  </si>
  <si>
    <t>D2</t>
  </si>
  <si>
    <t>D3</t>
  </si>
  <si>
    <t>D4</t>
  </si>
  <si>
    <t>D5</t>
  </si>
  <si>
    <t>D6</t>
  </si>
  <si>
    <t>D7</t>
  </si>
  <si>
    <t>D8</t>
  </si>
  <si>
    <t>D9</t>
  </si>
  <si>
    <t>D10</t>
  </si>
  <si>
    <t>D11</t>
  </si>
  <si>
    <t>D12</t>
  </si>
  <si>
    <t>D13</t>
  </si>
  <si>
    <r>
      <rPr>
        <rFont val="Roboto Serif"/>
        <b/>
        <color theme="1"/>
        <u/>
      </rPr>
      <t xml:space="preserve"> MORNING</t>
    </r>
    <r>
      <rPr>
        <rFont val="Roboto Serif"/>
        <color theme="1"/>
      </rPr>
      <t xml:space="preserve">
</t>
    </r>
    <r>
      <rPr>
        <rFont val="Roboto Serif"/>
        <b/>
        <i/>
        <color theme="1"/>
        <u/>
      </rPr>
      <t>COPY IN IMAGE</t>
    </r>
    <r>
      <rPr>
        <rFont val="Roboto Serif"/>
        <color theme="1"/>
      </rPr>
      <t xml:space="preserve">
 WHO IS READY!!! International Friendly is Here— Gold Pari offers favourable odds on all international friendly matches ! Ready to turn your passion for sports into winnings? Join us now for the ultimate betting experience. #GoldPari #BetOnWinning!"
</t>
    </r>
    <r>
      <rPr>
        <rFont val="Roboto Serif"/>
        <b/>
        <color theme="1"/>
        <u/>
      </rPr>
      <t>IMAGE DESCRIPTION</t>
    </r>
    <r>
      <rPr>
        <rFont val="Roboto Serif"/>
        <color theme="1"/>
      </rPr>
      <t xml:space="preserve">
Image of Leading Africa Players Together with Gold Pari Logo. Showcase Few Teams to select during the international friendly week.
</t>
    </r>
    <r>
      <rPr>
        <rFont val="Roboto Serif"/>
        <b/>
        <color theme="1"/>
        <u/>
      </rPr>
      <t>CAPTION</t>
    </r>
    <r>
      <rPr>
        <rFont val="Roboto Serif"/>
        <color theme="1"/>
      </rPr>
      <t xml:space="preserve">
A NEW Gold is in TOWN!! 🌞 Gold Pari is here to kickstart your winning streak. Are you ready to bet on your passion? Start by visiting Gold Pari](https://goldpari.com/ and signing up to join the winning league.</t>
    </r>
  </si>
  <si>
    <t>E1</t>
  </si>
  <si>
    <r>
      <rPr>
        <rFont val="Roboto Serif"/>
        <b/>
        <color theme="1"/>
        <u/>
      </rPr>
      <t xml:space="preserve"> MORNING</t>
    </r>
    <r>
      <rPr>
        <rFont val="Roboto Serif"/>
        <color theme="1"/>
      </rPr>
      <t xml:space="preserve">
</t>
    </r>
    <r>
      <rPr>
        <rFont val="Roboto Serif"/>
        <b/>
        <i/>
        <color theme="1"/>
        <u/>
      </rPr>
      <t>COPY IN IMAGE</t>
    </r>
    <r>
      <rPr>
        <rFont val="Roboto Serif"/>
        <color theme="1"/>
      </rPr>
      <t xml:space="preserve">
 WHO IS READY!!! International Friendly is Here— Gold Pari offers favourable odds on all international friendly matches ! Ready to turn your passion for sports into winnings? Join us now for the ultimate betting experience. #GoldPari #BetOnWinning!"
</t>
    </r>
    <r>
      <rPr>
        <rFont val="Roboto Serif"/>
        <b/>
        <color theme="1"/>
        <u/>
      </rPr>
      <t>IMAGE DESCRIPTION</t>
    </r>
    <r>
      <rPr>
        <rFont val="Roboto Serif"/>
        <color theme="1"/>
      </rPr>
      <t xml:space="preserve">
Image of Leading Africa Players Together with Gold Pari Logo. Showcase Few Teams to select during the international friendly week.
</t>
    </r>
    <r>
      <rPr>
        <rFont val="Roboto Serif"/>
        <b/>
        <color theme="1"/>
        <u/>
      </rPr>
      <t>CAPTION</t>
    </r>
    <r>
      <rPr>
        <rFont val="Roboto Serif"/>
        <color theme="1"/>
      </rPr>
      <t xml:space="preserve">
A NEW Gold is in TOWN!! 🌞 Gold Pari is here to kickstart your winning streak. Are you ready to bet on your passion? Start by visiting Gold Pari](https://goldpari.com/ and signing up to join the winning league.</t>
    </r>
  </si>
  <si>
    <t>E2</t>
  </si>
  <si>
    <r>
      <rPr>
        <rFont val="Roboto Serif"/>
        <b/>
        <color theme="1"/>
        <u/>
      </rPr>
      <t xml:space="preserve"> MORNING  [ INTRO ]</t>
    </r>
    <r>
      <rPr>
        <rFont val="Roboto Serif"/>
        <color theme="1"/>
      </rPr>
      <t xml:space="preserve">
</t>
    </r>
    <r>
      <rPr>
        <rFont val="Roboto Serif"/>
        <b/>
        <i/>
        <color theme="1"/>
        <u/>
      </rPr>
      <t>COPY IN IMAGE</t>
    </r>
    <r>
      <rPr>
        <rFont val="Roboto Serif"/>
        <color theme="1"/>
      </rPr>
      <t xml:space="preserve">
 Excited about the upcoming weekend fixtures —Gold Pari is here! Ready to turn your passion for sports into winnings? Join us now for the ultimate betting experience. #GoldPari #BetOnWinning!"
</t>
    </r>
    <r>
      <rPr>
        <rFont val="Roboto Serif"/>
        <b/>
        <color theme="1"/>
        <u/>
      </rPr>
      <t>IMAGE DESCRIPTION</t>
    </r>
    <r>
      <rPr>
        <rFont val="Roboto Serif"/>
        <color theme="1"/>
      </rPr>
      <t xml:space="preserve">
A Passionate demonstration of zeal, determination and happiness, with a dynamic overlay of Gold Pari's logo and a football in motion, symbolizing the start of a thrilling journey.
</t>
    </r>
    <r>
      <rPr>
        <rFont val="Roboto Serif"/>
        <b/>
        <color theme="1"/>
        <u/>
      </rPr>
      <t>CAPTION</t>
    </r>
    <r>
      <rPr>
        <rFont val="Roboto Serif"/>
        <color theme="1"/>
      </rPr>
      <t xml:space="preserve">
A NEW Gold is in TOWN!! 🌞 Gold Pari is here to kickstart your winning streak. Are you ready to bet on your passion? Start by visiting Gold Pari](https://goldpari.com/ and signing up to join the winning league.</t>
    </r>
  </si>
  <si>
    <t>E3</t>
  </si>
  <si>
    <r>
      <rPr>
        <rFont val="Roboto Serif"/>
        <color theme="1"/>
      </rPr>
      <t xml:space="preserve"> 2. </t>
    </r>
    <r>
      <rPr>
        <rFont val="Roboto Serif"/>
        <i/>
        <color theme="1"/>
      </rPr>
      <t>Awareness Post</t>
    </r>
    <r>
      <rPr>
        <rFont val="Roboto Serif"/>
        <color theme="1"/>
      </rPr>
      <t xml:space="preserve"> </t>
    </r>
    <r>
      <rPr>
        <rFont val="Roboto Serif"/>
        <b/>
        <color theme="1"/>
      </rPr>
      <t xml:space="preserve">Midday </t>
    </r>
    <r>
      <rPr>
        <rFont val="Roboto Serif"/>
        <color theme="1"/>
      </rPr>
      <t xml:space="preserve">
</t>
    </r>
    <r>
      <rPr>
        <rFont val="Roboto Serif"/>
        <b/>
        <color theme="1"/>
        <u/>
      </rPr>
      <t>COPY IN IMAGE</t>
    </r>
    <r>
      <rPr>
        <rFont val="Roboto Serif"/>
        <color theme="1"/>
      </rPr>
      <t xml:space="preserve">
 Take a break and dive into the world of sports betting with Gold Pari. Big wins await you. SUPER EXCITED! #GoldPari #BettingMadeEasy
</t>
    </r>
    <r>
      <rPr>
        <rFont val="Roboto Serif"/>
        <b/>
        <color theme="1"/>
        <u/>
      </rPr>
      <t>IMAGE DESCRIPTION</t>
    </r>
    <r>
      <rPr>
        <rFont val="Roboto Serif"/>
        <color theme="1"/>
      </rPr>
      <t xml:space="preserve">
A Group of youth in similar indigious colors, with friends enjoying or hanging a sport arena while checking their phones, the Gold Pari app visible on the screen.
</t>
    </r>
    <r>
      <rPr>
        <rFont val="Roboto Serif"/>
        <b/>
        <color theme="1"/>
        <u/>
      </rPr>
      <t>CAPTION</t>
    </r>
    <r>
      <rPr>
        <rFont val="Roboto Serif"/>
        <color theme="1"/>
      </rPr>
      <t xml:space="preserve">
Midday thrill! As you enjoy your lunch, why not spice up your day with some winning bets? Join Gold Pari now and make every moment count! 🔗 [Insert Sign-Up Link] #GoldPari #LunchBreak #WinningStreak</t>
    </r>
  </si>
  <si>
    <t>E4</t>
  </si>
  <si>
    <r>
      <rPr>
        <rFont val="Roboto Serif"/>
        <b/>
        <color theme="1"/>
        <u/>
      </rPr>
      <t xml:space="preserve">Engagement Post </t>
    </r>
    <r>
      <rPr>
        <rFont val="Roboto Serif"/>
        <color theme="1"/>
      </rPr>
      <t xml:space="preserve">
</t>
    </r>
    <r>
      <rPr>
        <rFont val="Roboto Serif"/>
        <b/>
        <color theme="1"/>
        <u/>
      </rPr>
      <t>COPY IN IMAGE</t>
    </r>
    <r>
      <rPr>
        <rFont val="Roboto Serif"/>
        <color theme="1"/>
      </rPr>
      <t xml:space="preserve">
What’s your favourite sport to bet on?
</t>
    </r>
    <r>
      <rPr>
        <rFont val="Roboto Serif"/>
        <b/>
        <color theme="1"/>
        <u/>
      </rPr>
      <t>IMAGE DESCRIPTION</t>
    </r>
    <r>
      <rPr>
        <rFont val="Roboto Serif"/>
        <color theme="1"/>
      </rPr>
      <t xml:space="preserve">
A dynamic image Top Football League Logos together, with a subtle background of football favorite players in the various leagues, showcasing the variety of leagues available on Gold Pari.
</t>
    </r>
    <r>
      <rPr>
        <rFont val="Roboto Serif"/>
        <b/>
        <color theme="1"/>
        <u/>
      </rPr>
      <t>CAPTION</t>
    </r>
    <r>
      <rPr>
        <rFont val="Roboto Serif"/>
        <color theme="1"/>
      </rPr>
      <t xml:space="preserve">
What’s your favorite league to bet on? Let’s hear it in the comments! Share your picks and connect with other like minded people. [ Possibile Recap of the Weekly Betting Predictions and Interactions ] #GoldPari </t>
    </r>
  </si>
  <si>
    <t>E5</t>
  </si>
  <si>
    <t>H1</t>
  </si>
  <si>
    <t>H2</t>
  </si>
  <si>
    <t>H3</t>
  </si>
  <si>
    <t>H4</t>
  </si>
  <si>
    <t>J1</t>
  </si>
  <si>
    <t>j2</t>
  </si>
  <si>
    <t>J3</t>
  </si>
  <si>
    <t>J2</t>
  </si>
  <si>
    <t>j3</t>
  </si>
  <si>
    <t>PROJECT PLAN: NIGERIA</t>
  </si>
  <si>
    <t>PROJECT PLAN: Zambia</t>
  </si>
  <si>
    <t xml:space="preserve">Note: Recruit 20 DSAs on 3 monthly contracts to focus on only pushing vendor acquisitions with a target of 20 merchants signing a day. </t>
  </si>
  <si>
    <t>Events Calendars - May to August 2023</t>
  </si>
  <si>
    <t xml:space="preserve">Pointers: </t>
  </si>
  <si>
    <t>The morning peak period (MPP) is the time interval from 6:00 a.m. -
9:00 a.m.</t>
  </si>
  <si>
    <t>Event</t>
  </si>
  <si>
    <t>Location</t>
  </si>
  <si>
    <t>Organizer</t>
  </si>
  <si>
    <t>Sponosorship offer</t>
  </si>
  <si>
    <t>Costs</t>
  </si>
  <si>
    <t>Acquired Results</t>
  </si>
  <si>
    <t>The evening peak period (EPP) is the time interval from 4:00 p.m. - 7:00 p.m.</t>
  </si>
  <si>
    <t>The off-peak period consists of three intervals: 12:00 pm. – 3:00 pm.</t>
  </si>
  <si>
    <t>Tubayoo Market Day</t>
  </si>
  <si>
    <t>Motiv - Industiral Area</t>
  </si>
  <si>
    <t xml:space="preserve">Tubayoo </t>
  </si>
  <si>
    <t xml:space="preserve">Financial Sponsorship/ Vendor Branding </t>
  </si>
  <si>
    <t xml:space="preserve">Targets- Growth Plan </t>
  </si>
  <si>
    <t>Working Days/ Period</t>
  </si>
  <si>
    <t xml:space="preserve">Targets - Each </t>
  </si>
  <si>
    <t>Unit - Sales people</t>
  </si>
  <si>
    <t>Total Merchant Acquisitions</t>
  </si>
  <si>
    <t>94 Day - 15th May to 31st August      (Execluding Sundays)</t>
  </si>
  <si>
    <t xml:space="preserve">30 Merchants Onboarding </t>
  </si>
  <si>
    <t xml:space="preserve">Executions Highlights </t>
  </si>
  <si>
    <t>Identify and train a team of sales representatives</t>
  </si>
  <si>
    <t>Key marketing material  messaging and positioning for the product</t>
  </si>
  <si>
    <t xml:space="preserve">Established sales targets and tracker for daily results </t>
  </si>
  <si>
    <t xml:space="preserve">Equip your sales team with uniforms &amp; approach </t>
  </si>
  <si>
    <t>Track and measure your results</t>
  </si>
  <si>
    <t>Field Route Plan</t>
  </si>
  <si>
    <t xml:space="preserve">Date /Week </t>
  </si>
  <si>
    <t>Group</t>
  </si>
  <si>
    <t xml:space="preserve">Route </t>
  </si>
  <si>
    <t>Allocation</t>
  </si>
  <si>
    <t>Comments</t>
  </si>
  <si>
    <t xml:space="preserve">Feedback on location </t>
  </si>
  <si>
    <t>15th May, 2023</t>
  </si>
  <si>
    <t>A</t>
  </si>
  <si>
    <t xml:space="preserve">Gazaland  - Downtown </t>
  </si>
  <si>
    <t>10 Dsas</t>
  </si>
  <si>
    <t>Targetting downtown business centres</t>
  </si>
  <si>
    <t xml:space="preserve">- Electronics &amp; Beauty </t>
  </si>
  <si>
    <t>B</t>
  </si>
  <si>
    <t xml:space="preserve">Mini Price </t>
  </si>
  <si>
    <t>22th May, 2023</t>
  </si>
  <si>
    <t xml:space="preserve">Jinja Raod </t>
  </si>
  <si>
    <t>Kitgum House - Mega Standard</t>
  </si>
  <si>
    <t>29th May, 2023</t>
  </si>
  <si>
    <t>Workers house</t>
  </si>
  <si>
    <t>Posta Uganda</t>
  </si>
  <si>
    <t>5th June 2023</t>
  </si>
  <si>
    <t>Crown House/ Communication House</t>
  </si>
  <si>
    <t>12th June 2023</t>
  </si>
  <si>
    <t xml:space="preserve">Kisenyi Business Center </t>
  </si>
  <si>
    <t>Mukwano Courts/  Luwum St, Kampala</t>
  </si>
  <si>
    <t>19th June 2023</t>
  </si>
  <si>
    <t xml:space="preserve">Wadegeya centres/ Kamokya </t>
  </si>
  <si>
    <t>Bukoto/kololo centres/ Acacia</t>
  </si>
  <si>
    <t>26th June 2023</t>
  </si>
  <si>
    <t>Wadegeya centres</t>
  </si>
  <si>
    <t xml:space="preserve">Bukoto/kololo centres </t>
  </si>
  <si>
    <t>3rd July 2023</t>
  </si>
  <si>
    <t xml:space="preserve">Nakawa/ Bugolobi </t>
  </si>
  <si>
    <t xml:space="preserve">Mbuaya/ Luzira </t>
  </si>
  <si>
    <t>10th July 2023</t>
  </si>
  <si>
    <t>17th July 2023</t>
  </si>
  <si>
    <t xml:space="preserve">Kireka- Bweyogere </t>
  </si>
  <si>
    <t>24th July 2023</t>
  </si>
  <si>
    <t xml:space="preserve">Rubaga/ Mengo </t>
  </si>
  <si>
    <t>31st July 2023</t>
  </si>
  <si>
    <t xml:space="preserve">Gayaza/ Katwee </t>
  </si>
  <si>
    <t>7th August  2023</t>
  </si>
  <si>
    <t>14th August  2023</t>
  </si>
  <si>
    <t>Kiwatule/ Ntinda</t>
  </si>
  <si>
    <t xml:space="preserve">Kisasa/Kyanja </t>
  </si>
  <si>
    <t>21st August  2023</t>
  </si>
  <si>
    <t>28th August  2023</t>
  </si>
  <si>
    <t>Gaba/ Kasansa</t>
  </si>
  <si>
    <t>Muyega</t>
  </si>
  <si>
    <t>Week</t>
  </si>
  <si>
    <t>WoW Growth</t>
  </si>
  <si>
    <t>Metrics</t>
  </si>
  <si>
    <t>Definition</t>
  </si>
  <si>
    <t>MoM Growth</t>
  </si>
  <si>
    <t>*** It's important to keep in mind that the details included in a customer feedback form may vary depending on the specific product or service being offered and the goals of the feedback collection process.</t>
  </si>
  <si>
    <t xml:space="preserve">** To be populate by the costumer support associate or anyone getting feedback from customers </t>
  </si>
  <si>
    <t>Contact Information</t>
  </si>
  <si>
    <t>Transaction details</t>
  </si>
  <si>
    <t>Feedback Questions</t>
  </si>
  <si>
    <t>Ratings</t>
  </si>
  <si>
    <t>Comments or Suggestions:</t>
  </si>
  <si>
    <t xml:space="preserve">Consent: </t>
  </si>
  <si>
    <t>*** Attach here links to all materials being used for the executions - to be used as reference to access all databases on artworks etc</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</si>
</sst>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yyyy h:mm:ss"/>
    <numFmt numFmtId="165" formatCode="dd/mm/yy"/>
    <numFmt numFmtId="166" formatCode="M/d/yyyy H:mm:ss"/>
    <numFmt numFmtId="167" formatCode="mm/dd/yyyy"/>
    <numFmt numFmtId="168" formatCode="m/d/yyyy"/>
    <numFmt numFmtId="169" formatCode="ddd\,\ dd\-mmm\-yyyy"/>
    <numFmt numFmtId="170" formatCode="#,##0_ ;[Red]\-#,##0\ "/>
    <numFmt numFmtId="171" formatCode="d&quot;-&quot;mmm&quot;-&quot;yyyy"/>
    <numFmt numFmtId="172" formatCode="ddd, d-mmm-yyyy"/>
    <numFmt numFmtId="173" formatCode="dd&quot;/&quot;mm&quot;/&quot;yy"/>
    <numFmt numFmtId="174" formatCode="mmm&quot;-&quot;yyyy"/>
  </numFmts>
  <fonts count="35">
    <font>
      <sz val="10.0"/>
      <color rgb="FF000000"/>
      <name val="Arial"/>
      <scheme val="minor"/>
    </font>
    <font>
      <b/>
      <sz val="11.0"/>
      <color rgb="FF000000"/>
      <name val="&quot;Times New Roman&quot;"/>
    </font>
    <font>
      <b/>
      <sz val="11.0"/>
      <color rgb="FF000000"/>
      <name val="Calibri"/>
    </font>
    <font>
      <color theme="1"/>
      <name val="Arial"/>
      <scheme val="minor"/>
    </font>
    <font>
      <b/>
      <sz val="11.0"/>
      <color theme="1"/>
      <name val="Times New Roman"/>
    </font>
    <font>
      <sz val="11.0"/>
      <color rgb="FF000000"/>
      <name val="&quot;Times New Roman&quot;"/>
    </font>
    <font>
      <b/>
      <i/>
      <sz val="11.0"/>
      <color rgb="FF000000"/>
      <name val="&quot;Times New Roman&quot;"/>
    </font>
    <font>
      <b/>
      <u/>
      <sz val="12.0"/>
      <color rgb="FF434343"/>
      <name val="&quot;Times New Roman&quot;"/>
    </font>
    <font>
      <i/>
      <sz val="11.0"/>
      <color rgb="FF000000"/>
      <name val="&quot;Times New Roman&quot;"/>
    </font>
    <font>
      <u/>
      <color theme="1"/>
      <name val="Arial"/>
      <scheme val="minor"/>
    </font>
    <font/>
    <font>
      <sz val="11.0"/>
      <color theme="1"/>
      <name val="Times New Roman"/>
    </font>
    <font>
      <b/>
      <sz val="11.0"/>
      <color rgb="FFFF0000"/>
      <name val="Times New Roman"/>
    </font>
    <font>
      <u/>
      <color rgb="FF0000FF"/>
    </font>
    <font>
      <b/>
      <color theme="1"/>
      <name val="Arial"/>
      <scheme val="minor"/>
    </font>
    <font>
      <color theme="1"/>
      <name val="Arial"/>
    </font>
    <font>
      <u/>
      <color rgb="FF0000FF"/>
    </font>
    <font>
      <color rgb="FF000000"/>
      <name val="Arial"/>
    </font>
    <font>
      <b/>
      <sz val="11.0"/>
      <color rgb="FF000000"/>
      <name val="Roboto Serif"/>
    </font>
    <font>
      <color theme="1"/>
      <name val="Roboto Serif"/>
    </font>
    <font>
      <u/>
      <color rgb="FF0000FF"/>
      <name val="Roboto Serif"/>
    </font>
    <font>
      <b/>
      <sz val="12.0"/>
      <color rgb="FF000000"/>
      <name val="Times New Roman"/>
    </font>
    <font>
      <sz val="11.0"/>
      <color rgb="FF000000"/>
      <name val="Times New Roman"/>
    </font>
    <font>
      <u/>
      <sz val="11.0"/>
      <color rgb="FF1155CC"/>
      <name val="Times New Roman"/>
    </font>
    <font>
      <u/>
      <sz val="11.0"/>
      <color rgb="FF0563C1"/>
      <name val="Times New Roman"/>
    </font>
    <font>
      <b/>
      <sz val="11.0"/>
      <color rgb="FF000000"/>
      <name val="Times New Roman"/>
    </font>
    <font>
      <b/>
      <color theme="1"/>
      <name val="Asap"/>
    </font>
    <font>
      <color theme="1"/>
      <name val="Asap"/>
    </font>
    <font>
      <b/>
      <sz val="11.0"/>
      <color rgb="FF999999"/>
      <name val="Times New Roman"/>
    </font>
    <font>
      <b/>
      <sz val="11.0"/>
      <color rgb="FFB7B7B7"/>
      <name val="Times New Roman"/>
    </font>
    <font>
      <color rgb="FFB7B7B7"/>
      <name val="Arial"/>
      <scheme val="minor"/>
    </font>
    <font>
      <b/>
      <sz val="9.0"/>
      <color theme="1"/>
      <name val="Asap"/>
    </font>
    <font>
      <sz val="9.0"/>
      <color theme="1"/>
      <name val="Asap"/>
    </font>
    <font>
      <color rgb="FFF3F3F3"/>
      <name val="Asap"/>
    </font>
    <font>
      <sz val="9.0"/>
      <color rgb="FF000000"/>
      <name val="Asap"/>
    </font>
  </fonts>
  <fills count="14">
    <fill>
      <patternFill patternType="none"/>
    </fill>
    <fill>
      <patternFill patternType="lightGray"/>
    </fill>
    <fill>
      <patternFill patternType="solid">
        <fgColor rgb="FFFF8800"/>
        <bgColor rgb="FFFF8800"/>
      </patternFill>
    </fill>
    <fill>
      <patternFill patternType="solid">
        <fgColor rgb="FFB6D7A8"/>
        <bgColor rgb="FFB6D7A8"/>
      </patternFill>
    </fill>
    <fill>
      <patternFill patternType="solid">
        <fgColor rgb="FFFFFFFF"/>
        <bgColor rgb="FFFFFFFF"/>
      </patternFill>
    </fill>
    <fill>
      <patternFill patternType="solid">
        <fgColor rgb="FFC9DAF8"/>
        <bgColor rgb="FFC9DAF8"/>
      </patternFill>
    </fill>
    <fill>
      <patternFill patternType="solid">
        <fgColor rgb="FFFF9900"/>
        <bgColor rgb="FFFF9900"/>
      </patternFill>
    </fill>
    <fill>
      <patternFill patternType="solid">
        <fgColor rgb="FFFF0000"/>
        <bgColor rgb="FFFF0000"/>
      </patternFill>
    </fill>
    <fill>
      <patternFill patternType="solid">
        <fgColor rgb="FFFFC000"/>
        <bgColor rgb="FFFFC000"/>
      </patternFill>
    </fill>
    <fill>
      <patternFill patternType="solid">
        <fgColor rgb="FFA5A5A5"/>
        <bgColor rgb="FFA5A5A5"/>
      </patternFill>
    </fill>
    <fill>
      <patternFill patternType="solid">
        <fgColor rgb="FFD8D8D8"/>
        <bgColor rgb="FFD8D8D8"/>
      </patternFill>
    </fill>
    <fill>
      <patternFill patternType="solid">
        <fgColor rgb="FFB7E1CD"/>
        <bgColor rgb="FFB7E1CD"/>
      </patternFill>
    </fill>
    <fill>
      <patternFill patternType="solid">
        <fgColor rgb="FFD9D9D9"/>
        <bgColor rgb="FFD9D9D9"/>
      </patternFill>
    </fill>
    <fill>
      <patternFill patternType="solid">
        <fgColor rgb="FF0BC7B4"/>
        <bgColor rgb="FF0BC7B4"/>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FF"/>
      </left>
      <right style="thin">
        <color rgb="FF0000FF"/>
      </right>
      <top style="thin">
        <color rgb="FF0000FF"/>
      </top>
      <bottom style="thin">
        <color rgb="FF0000FF"/>
      </bottom>
    </border>
    <border>
      <left style="thin">
        <color rgb="FF0000FF"/>
      </left>
      <right style="thin">
        <color rgb="FF0000FF"/>
      </right>
      <top style="thin">
        <color rgb="FF0000FF"/>
      </top>
    </border>
    <border>
      <left style="thin">
        <color rgb="FF0000FF"/>
      </left>
      <right style="thin">
        <color rgb="FF0000FF"/>
      </right>
      <bottom style="thin">
        <color rgb="FF0000FF"/>
      </bottom>
    </border>
    <border>
      <bottom style="thin">
        <color rgb="FF0000FF"/>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1" fillId="0" fontId="2" numFmtId="0" xfId="0" applyAlignment="1" applyBorder="1" applyFont="1">
      <alignment horizontal="center" readingOrder="0" shrinkToFit="0" vertical="top" wrapText="0"/>
    </xf>
    <xf borderId="0" fillId="0" fontId="3" numFmtId="0" xfId="0" applyFont="1"/>
    <xf borderId="2" fillId="0" fontId="2" numFmtId="0" xfId="0" applyAlignment="1" applyBorder="1" applyFont="1">
      <alignment horizontal="center" readingOrder="0" shrinkToFit="0" vertical="top" wrapText="0"/>
    </xf>
    <xf borderId="0" fillId="2" fontId="4" numFmtId="0" xfId="0" applyAlignment="1" applyFill="1" applyFont="1">
      <alignment horizontal="center" readingOrder="0"/>
    </xf>
    <xf borderId="0" fillId="0" fontId="3" numFmtId="0" xfId="0" applyAlignment="1" applyFont="1">
      <alignment shrinkToFit="0" wrapText="1"/>
    </xf>
    <xf borderId="0" fillId="0" fontId="3" numFmtId="0" xfId="0" applyAlignment="1" applyFont="1">
      <alignment readingOrder="0"/>
    </xf>
    <xf borderId="0" fillId="0" fontId="5" numFmtId="0" xfId="0" applyAlignment="1" applyFont="1">
      <alignment horizontal="left" readingOrder="0" shrinkToFit="0" wrapText="1"/>
    </xf>
    <xf borderId="3" fillId="2" fontId="4" numFmtId="0" xfId="0" applyAlignment="1" applyBorder="1" applyFill="1" applyFont="1">
      <alignment horizontal="center"/>
    </xf>
    <xf borderId="0" fillId="3" fontId="3" numFmtId="0" xfId="0" applyAlignment="1" applyFill="1" applyFont="1">
      <alignment readingOrder="0"/>
    </xf>
    <xf borderId="0" fillId="0" fontId="6" numFmtId="0" xfId="0" applyAlignment="1" applyFont="1">
      <alignment horizontal="left" readingOrder="0" shrinkToFit="0" wrapText="1"/>
    </xf>
    <xf borderId="1" fillId="2" fontId="4" numFmtId="0" xfId="0" applyAlignment="1" applyBorder="1" applyFill="1" applyFont="1">
      <alignment horizontal="center" readingOrder="0" vertical="bottom"/>
    </xf>
    <xf borderId="0" fillId="0" fontId="1" numFmtId="0" xfId="0" applyAlignment="1" applyFont="1">
      <alignment horizontal="left" shrinkToFit="0" wrapText="1"/>
    </xf>
    <xf borderId="0" fillId="0" fontId="7" numFmtId="0" xfId="0" applyAlignment="1" applyFont="1">
      <alignment horizontal="left" readingOrder="0" shrinkToFit="0" wrapText="1"/>
    </xf>
    <xf borderId="0" fillId="0" fontId="8" numFmtId="0" xfId="0" applyAlignment="1" applyFont="1">
      <alignment horizontal="left" readingOrder="0" shrinkToFit="0" wrapText="1"/>
    </xf>
    <xf borderId="0" fillId="0" fontId="5" numFmtId="0" xfId="0" applyAlignment="1" applyFont="1">
      <alignment horizontal="left" shrinkToFit="0" wrapText="1"/>
    </xf>
    <xf borderId="3" fillId="3" fontId="4" numFmtId="0" xfId="0" applyAlignment="1" applyBorder="1" applyFill="1" applyFont="1">
      <alignment horizontal="center" readingOrder="0" vertical="bottom"/>
    </xf>
    <xf borderId="0" fillId="3" fontId="9" numFmtId="0" xfId="0" applyAlignment="1" applyFill="1" applyFont="1">
      <alignment readingOrder="0"/>
    </xf>
    <xf borderId="0" fillId="0" fontId="3" numFmtId="164" xfId="0" applyAlignment="1" applyFont="1" applyNumberFormat="1">
      <alignment readingOrder="0"/>
    </xf>
    <xf borderId="4" fillId="0" fontId="10" numFmtId="0" xfId="0" applyBorder="1" applyFont="1"/>
    <xf borderId="4" fillId="2" fontId="4" numFmtId="165" xfId="0" applyAlignment="1" applyBorder="1" applyFill="1" applyFont="1" applyNumberFormat="1">
      <alignment horizontal="center" readingOrder="0" vertical="bottom"/>
    </xf>
    <xf borderId="4" fillId="2" fontId="4" numFmtId="0" xfId="0" applyAlignment="1" applyBorder="1" applyFill="1" applyFont="1">
      <alignment horizontal="center" readingOrder="0" vertical="bottom"/>
    </xf>
    <xf borderId="0" fillId="0" fontId="3" numFmtId="0" xfId="0" applyAlignment="1" applyFont="1">
      <alignment readingOrder="0" shrinkToFit="0" wrapText="1"/>
    </xf>
    <xf borderId="0" fillId="0" fontId="11" numFmtId="0" xfId="0" applyAlignment="1" applyFont="1">
      <alignment readingOrder="0"/>
    </xf>
    <xf borderId="0" fillId="0" fontId="11" numFmtId="0" xfId="0" applyAlignment="1" applyFont="1">
      <alignment horizontal="center" readingOrder="0"/>
    </xf>
    <xf borderId="0" fillId="0" fontId="11" numFmtId="0" xfId="0" applyAlignment="1" applyFont="1">
      <alignment horizontal="center"/>
    </xf>
    <xf borderId="0" fillId="0" fontId="3" numFmtId="14" xfId="0" applyAlignment="1" applyFont="1" applyNumberFormat="1">
      <alignment readingOrder="0"/>
    </xf>
    <xf borderId="0" fillId="0" fontId="3" numFmtId="0" xfId="0" applyFont="1"/>
    <xf borderId="0" fillId="4" fontId="4" numFmtId="0" xfId="0" applyAlignment="1" applyFill="1" applyFont="1">
      <alignment horizontal="center"/>
    </xf>
    <xf borderId="0" fillId="4" fontId="4" numFmtId="3" xfId="0" applyAlignment="1" applyFill="1" applyFont="1" applyNumberFormat="1">
      <alignment horizontal="center" readingOrder="0"/>
    </xf>
    <xf borderId="0" fillId="4" fontId="12" numFmtId="3" xfId="0" applyAlignment="1" applyFill="1" applyFont="1" applyNumberFormat="1">
      <alignment horizontal="center"/>
    </xf>
    <xf borderId="0" fillId="4" fontId="11" numFmtId="0" xfId="0" applyAlignment="1" applyFill="1" applyFont="1">
      <alignment horizontal="center" readingOrder="0"/>
    </xf>
    <xf borderId="0" fillId="4" fontId="12" numFmtId="0" xfId="0" applyAlignment="1" applyFill="1" applyFont="1">
      <alignment horizontal="center"/>
    </xf>
    <xf borderId="5" fillId="0" fontId="10" numFmtId="0" xfId="0" applyBorder="1" applyFont="1"/>
    <xf borderId="5" fillId="0" fontId="11" numFmtId="0" xfId="0" applyAlignment="1" applyBorder="1" applyFont="1">
      <alignment readingOrder="0"/>
    </xf>
    <xf borderId="5" fillId="0" fontId="11" numFmtId="0" xfId="0" applyAlignment="1" applyBorder="1" applyFont="1">
      <alignment horizontal="center" readingOrder="0"/>
    </xf>
    <xf borderId="5" fillId="0" fontId="11" numFmtId="0" xfId="0" applyAlignment="1" applyBorder="1" applyFont="1">
      <alignment horizontal="center"/>
    </xf>
    <xf borderId="5" fillId="4" fontId="4" numFmtId="0" xfId="0" applyAlignment="1" applyBorder="1" applyFill="1" applyFont="1">
      <alignment horizontal="center"/>
    </xf>
    <xf borderId="5" fillId="4" fontId="11" numFmtId="9" xfId="0" applyAlignment="1" applyBorder="1" applyFill="1" applyFont="1" applyNumberFormat="1">
      <alignment horizontal="center" readingOrder="0"/>
    </xf>
    <xf borderId="0" fillId="0" fontId="13" numFmtId="0" xfId="0" applyAlignment="1" applyFont="1">
      <alignment readingOrder="0"/>
    </xf>
    <xf borderId="5" fillId="4" fontId="11" numFmtId="0" xfId="0" applyAlignment="1" applyBorder="1" applyFill="1" applyFont="1">
      <alignment horizontal="center"/>
    </xf>
    <xf borderId="0" fillId="0" fontId="3" numFmtId="0" xfId="0" applyAlignment="1" applyFont="1">
      <alignment horizontal="center" readingOrder="0"/>
    </xf>
    <xf borderId="0" fillId="0" fontId="3" numFmtId="0" xfId="0" applyAlignment="1" applyFont="1">
      <alignment horizontal="center"/>
    </xf>
    <xf borderId="0" fillId="0" fontId="14" numFmtId="0" xfId="0" applyAlignment="1" applyFont="1">
      <alignment readingOrder="0"/>
    </xf>
    <xf borderId="0" fillId="0" fontId="15" numFmtId="0" xfId="0" applyAlignment="1" applyFont="1">
      <alignment horizontal="center" vertical="center"/>
    </xf>
    <xf borderId="5" fillId="0" fontId="3" numFmtId="0" xfId="0" applyAlignment="1" applyBorder="1" applyFont="1">
      <alignment horizontal="center" readingOrder="0"/>
    </xf>
    <xf borderId="5" fillId="0" fontId="3" numFmtId="0" xfId="0" applyAlignment="1" applyBorder="1" applyFont="1">
      <alignment horizontal="center"/>
    </xf>
    <xf borderId="0" fillId="5" fontId="3" numFmtId="0" xfId="0" applyFill="1" applyFont="1"/>
    <xf borderId="0" fillId="4" fontId="11" numFmtId="0" xfId="0" applyAlignment="1" applyFill="1" applyFont="1">
      <alignment horizontal="center"/>
    </xf>
    <xf borderId="0" fillId="0" fontId="14" numFmtId="0" xfId="0" applyAlignment="1" applyFont="1">
      <alignment readingOrder="0" shrinkToFit="0" wrapText="1"/>
    </xf>
    <xf borderId="0" fillId="0" fontId="16" numFmtId="0" xfId="0" applyAlignment="1" applyFont="1">
      <alignment readingOrder="0" shrinkToFit="0" wrapText="1"/>
    </xf>
    <xf borderId="0" fillId="4" fontId="17" numFmtId="0" xfId="0" applyAlignment="1" applyFill="1" applyFont="1">
      <alignment horizontal="left" readingOrder="0"/>
    </xf>
    <xf borderId="0" fillId="0" fontId="3" numFmtId="0" xfId="0" applyAlignment="1" applyFont="1">
      <alignment horizontal="center" readingOrder="0" vertical="center"/>
    </xf>
    <xf borderId="1" fillId="0" fontId="18" numFmtId="166" xfId="0" applyAlignment="1" applyBorder="1" applyFont="1" applyNumberFormat="1">
      <alignment horizontal="center" readingOrder="0" shrinkToFit="0" vertical="top" wrapText="0"/>
    </xf>
    <xf borderId="0" fillId="6" fontId="3" numFmtId="0" xfId="0" applyAlignment="1" applyFill="1" applyFont="1">
      <alignment readingOrder="0" shrinkToFit="0" wrapText="1"/>
    </xf>
    <xf borderId="2" fillId="0" fontId="18" numFmtId="0" xfId="0" applyAlignment="1" applyBorder="1" applyFont="1">
      <alignment horizontal="center" readingOrder="0" shrinkToFit="0" vertical="top" wrapText="0"/>
    </xf>
    <xf borderId="0" fillId="0" fontId="19" numFmtId="167" xfId="0" applyAlignment="1" applyFont="1" applyNumberFormat="1">
      <alignment horizontal="center" readingOrder="0"/>
    </xf>
    <xf borderId="0" fillId="0" fontId="19" numFmtId="0" xfId="0" applyAlignment="1" applyFont="1">
      <alignment horizontal="center" readingOrder="0"/>
    </xf>
    <xf borderId="0" fillId="0" fontId="19" numFmtId="0" xfId="0" applyAlignment="1" applyFont="1">
      <alignment readingOrder="0"/>
    </xf>
    <xf borderId="0" fillId="0" fontId="19" numFmtId="0" xfId="0" applyFont="1"/>
    <xf borderId="0" fillId="0" fontId="19" numFmtId="0" xfId="0" applyAlignment="1" applyFont="1">
      <alignment readingOrder="0" shrinkToFit="0" wrapText="1"/>
    </xf>
    <xf borderId="0" fillId="0" fontId="20" numFmtId="0" xfId="0" applyAlignment="1" applyFont="1">
      <alignment readingOrder="0"/>
    </xf>
    <xf borderId="0" fillId="0" fontId="3" numFmtId="166" xfId="0" applyFont="1" applyNumberFormat="1"/>
    <xf borderId="0" fillId="7" fontId="3" numFmtId="0" xfId="0" applyAlignment="1" applyFill="1" applyFont="1">
      <alignment readingOrder="0"/>
    </xf>
    <xf borderId="0" fillId="6" fontId="3" numFmtId="0" xfId="0" applyAlignment="1" applyFill="1" applyFont="1">
      <alignment readingOrder="0"/>
    </xf>
    <xf borderId="0" fillId="0" fontId="3" numFmtId="168" xfId="0" applyAlignment="1" applyFont="1" applyNumberFormat="1">
      <alignment readingOrder="0"/>
    </xf>
    <xf borderId="6" fillId="8" fontId="21" numFmtId="0" xfId="0" applyAlignment="1" applyBorder="1" applyFill="1" applyFont="1">
      <alignment horizontal="center" readingOrder="0"/>
    </xf>
    <xf borderId="7" fillId="0" fontId="10" numFmtId="0" xfId="0" applyBorder="1" applyFont="1"/>
    <xf borderId="2" fillId="0" fontId="10" numFmtId="0" xfId="0" applyBorder="1" applyFont="1"/>
    <xf borderId="2" fillId="9" fontId="4" numFmtId="169" xfId="0" applyAlignment="1" applyBorder="1" applyFill="1" applyFont="1" applyNumberFormat="1">
      <alignment horizontal="right" shrinkToFit="0" wrapText="1"/>
    </xf>
    <xf borderId="8" fillId="0" fontId="11" numFmtId="0" xfId="0" applyBorder="1" applyFont="1"/>
    <xf borderId="9" fillId="10" fontId="4" numFmtId="0" xfId="0" applyAlignment="1" applyBorder="1" applyFill="1" applyFont="1">
      <alignment shrinkToFit="0" wrapText="1"/>
    </xf>
    <xf borderId="9" fillId="10" fontId="4" numFmtId="0" xfId="0" applyAlignment="1" applyBorder="1" applyFill="1" applyFont="1">
      <alignment horizontal="right" readingOrder="0" shrinkToFit="0" wrapText="1"/>
    </xf>
    <xf borderId="8" fillId="0" fontId="11" numFmtId="169" xfId="0" applyBorder="1" applyFont="1" applyNumberFormat="1"/>
    <xf borderId="9" fillId="10" fontId="4" numFmtId="0" xfId="0" applyAlignment="1" applyBorder="1" applyFill="1" applyFont="1">
      <alignment readingOrder="0" shrinkToFit="0" wrapText="1"/>
    </xf>
    <xf borderId="9" fillId="10" fontId="4" numFmtId="0" xfId="0" applyAlignment="1" applyBorder="1" applyFill="1" applyFont="1">
      <alignment horizontal="right" readingOrder="0"/>
    </xf>
    <xf borderId="9" fillId="10" fontId="4" numFmtId="170" xfId="0" applyAlignment="1" applyBorder="1" applyFill="1" applyFont="1" applyNumberFormat="1">
      <alignment horizontal="right" readingOrder="0"/>
    </xf>
    <xf borderId="0" fillId="0" fontId="11" numFmtId="0" xfId="0" applyFont="1"/>
    <xf borderId="0" fillId="0" fontId="11" numFmtId="169" xfId="0" applyFont="1" applyNumberFormat="1"/>
    <xf borderId="10" fillId="0" fontId="11" numFmtId="0" xfId="0" applyBorder="1" applyFont="1"/>
    <xf borderId="9" fillId="0" fontId="4" numFmtId="0" xfId="0" applyAlignment="1" applyBorder="1" applyFont="1">
      <alignment shrinkToFit="0" wrapText="1"/>
    </xf>
    <xf borderId="9" fillId="8" fontId="4" numFmtId="0" xfId="0" applyAlignment="1" applyBorder="1" applyFill="1" applyFont="1">
      <alignment readingOrder="0"/>
    </xf>
    <xf borderId="0" fillId="4" fontId="11" numFmtId="0" xfId="0" applyFill="1" applyFont="1"/>
    <xf borderId="10" fillId="0" fontId="11" numFmtId="0" xfId="0" applyAlignment="1" applyBorder="1" applyFont="1">
      <alignment readingOrder="0"/>
    </xf>
    <xf borderId="10" fillId="0" fontId="11" numFmtId="169" xfId="0" applyBorder="1" applyFont="1" applyNumberFormat="1"/>
    <xf borderId="10" fillId="4" fontId="11" numFmtId="0" xfId="0" applyBorder="1" applyFill="1" applyFont="1"/>
    <xf borderId="9" fillId="0" fontId="11" numFmtId="0" xfId="0" applyBorder="1" applyFont="1"/>
    <xf borderId="9" fillId="8" fontId="4" numFmtId="0" xfId="0" applyAlignment="1" applyBorder="1" applyFill="1" applyFont="1">
      <alignment shrinkToFit="0" wrapText="1"/>
    </xf>
    <xf borderId="9" fillId="8" fontId="4" numFmtId="0" xfId="0" applyBorder="1" applyFill="1" applyFont="1"/>
    <xf borderId="9" fillId="8" fontId="4" numFmtId="169" xfId="0" applyAlignment="1" applyBorder="1" applyFill="1" applyFont="1" applyNumberFormat="1">
      <alignment shrinkToFit="0" wrapText="1"/>
    </xf>
    <xf borderId="9" fillId="8" fontId="4" numFmtId="169" xfId="0" applyBorder="1" applyFill="1" applyFont="1" applyNumberFormat="1"/>
    <xf borderId="1" fillId="8" fontId="11" numFmtId="0" xfId="0" applyBorder="1" applyFill="1" applyFont="1"/>
    <xf borderId="1" fillId="4" fontId="22" numFmtId="0" xfId="0" applyAlignment="1" applyBorder="1" applyFill="1" applyFont="1">
      <alignment horizontal="left" readingOrder="0"/>
    </xf>
    <xf borderId="1" fillId="0" fontId="11" numFmtId="0" xfId="0" applyAlignment="1" applyBorder="1" applyFont="1">
      <alignment readingOrder="0"/>
    </xf>
    <xf borderId="9" fillId="0" fontId="11" numFmtId="169" xfId="0" applyAlignment="1" applyBorder="1" applyFont="1" applyNumberFormat="1">
      <alignment horizontal="right" readingOrder="0"/>
    </xf>
    <xf borderId="9" fillId="0" fontId="11" numFmtId="0" xfId="0" applyAlignment="1" applyBorder="1" applyFont="1">
      <alignment readingOrder="0"/>
    </xf>
    <xf borderId="9" fillId="8" fontId="11" numFmtId="0" xfId="0" applyAlignment="1" applyBorder="1" applyFill="1" applyFont="1">
      <alignment horizontal="center"/>
    </xf>
    <xf borderId="9" fillId="10" fontId="11" numFmtId="168" xfId="0" applyAlignment="1" applyBorder="1" applyFill="1" applyFont="1" applyNumberFormat="1">
      <alignment horizontal="center"/>
    </xf>
    <xf borderId="9" fillId="10" fontId="11" numFmtId="0" xfId="0" applyAlignment="1" applyBorder="1" applyFill="1" applyFont="1">
      <alignment horizontal="center"/>
    </xf>
    <xf borderId="9" fillId="0" fontId="23" numFmtId="0" xfId="0" applyAlignment="1" applyBorder="1" applyFont="1">
      <alignment shrinkToFit="0" wrapText="1"/>
    </xf>
    <xf borderId="1" fillId="0" fontId="11" numFmtId="0" xfId="0" applyAlignment="1" applyBorder="1" applyFont="1">
      <alignment readingOrder="0" shrinkToFit="0" wrapText="1"/>
    </xf>
    <xf borderId="4" fillId="8" fontId="11" numFmtId="0" xfId="0" applyBorder="1" applyFill="1" applyFont="1"/>
    <xf borderId="9" fillId="0" fontId="11" numFmtId="0" xfId="0" applyAlignment="1" applyBorder="1" applyFont="1">
      <alignment readingOrder="0" shrinkToFit="0" wrapText="1"/>
    </xf>
    <xf borderId="9" fillId="0" fontId="24" numFmtId="0" xfId="0" applyAlignment="1" applyBorder="1" applyFont="1">
      <alignment shrinkToFit="0" wrapText="1"/>
    </xf>
    <xf borderId="9" fillId="10" fontId="11" numFmtId="0" xfId="0" applyBorder="1" applyFill="1" applyFont="1"/>
    <xf borderId="0" fillId="0" fontId="11" numFmtId="0" xfId="0" applyAlignment="1" applyFont="1">
      <alignment vertical="bottom"/>
    </xf>
    <xf borderId="0" fillId="8" fontId="25" numFmtId="0" xfId="0" applyAlignment="1" applyFill="1" applyFont="1">
      <alignment horizontal="left" readingOrder="0"/>
    </xf>
    <xf borderId="1" fillId="0" fontId="11" numFmtId="169" xfId="0" applyAlignment="1" applyBorder="1" applyFont="1" applyNumberFormat="1">
      <alignment horizontal="right" readingOrder="0"/>
    </xf>
    <xf borderId="1" fillId="0" fontId="11" numFmtId="169" xfId="0" applyBorder="1" applyFont="1" applyNumberFormat="1"/>
    <xf borderId="1" fillId="8" fontId="11" numFmtId="0" xfId="0" applyAlignment="1" applyBorder="1" applyFill="1" applyFont="1">
      <alignment horizontal="center"/>
    </xf>
    <xf borderId="1" fillId="10" fontId="11" numFmtId="0" xfId="0" applyBorder="1" applyFill="1" applyFont="1"/>
    <xf borderId="1" fillId="10" fontId="11" numFmtId="0" xfId="0" applyAlignment="1" applyBorder="1" applyFill="1" applyFont="1">
      <alignment horizontal="center"/>
    </xf>
    <xf borderId="1" fillId="0" fontId="11" numFmtId="0" xfId="0" applyBorder="1" applyFont="1"/>
    <xf borderId="8" fillId="0" fontId="11" numFmtId="0" xfId="0" applyAlignment="1" applyBorder="1" applyFont="1">
      <alignment shrinkToFit="0" wrapText="1"/>
    </xf>
    <xf borderId="8" fillId="0" fontId="11" numFmtId="0" xfId="0" applyAlignment="1" applyBorder="1" applyFont="1">
      <alignment readingOrder="0"/>
    </xf>
    <xf borderId="11" fillId="8" fontId="11" numFmtId="0" xfId="0" applyBorder="1" applyFill="1" applyFont="1"/>
    <xf borderId="12" fillId="0" fontId="11" numFmtId="0" xfId="0" applyAlignment="1" applyBorder="1" applyFont="1">
      <alignment readingOrder="0" shrinkToFit="0" wrapText="1"/>
    </xf>
    <xf borderId="12" fillId="4" fontId="1" numFmtId="0" xfId="0" applyAlignment="1" applyBorder="1" applyFill="1" applyFont="1">
      <alignment horizontal="left" readingOrder="0"/>
    </xf>
    <xf borderId="2" fillId="0" fontId="11" numFmtId="169" xfId="0" applyAlignment="1" applyBorder="1" applyFont="1" applyNumberFormat="1">
      <alignment horizontal="right" readingOrder="0"/>
    </xf>
    <xf borderId="9" fillId="0" fontId="11" numFmtId="169" xfId="0" applyBorder="1" applyFont="1" applyNumberFormat="1"/>
    <xf borderId="12" fillId="0" fontId="11" numFmtId="0" xfId="0" applyAlignment="1" applyBorder="1" applyFont="1">
      <alignment readingOrder="0"/>
    </xf>
    <xf borderId="10" fillId="0" fontId="11" numFmtId="0" xfId="0" applyAlignment="1" applyBorder="1" applyFont="1">
      <alignment readingOrder="0" shrinkToFit="0" wrapText="1"/>
    </xf>
    <xf borderId="9" fillId="10" fontId="11" numFmtId="171" xfId="0" applyAlignment="1" applyBorder="1" applyFill="1" applyFont="1" applyNumberFormat="1">
      <alignment horizontal="center"/>
    </xf>
    <xf borderId="9" fillId="0" fontId="11" numFmtId="0" xfId="0" applyAlignment="1" applyBorder="1" applyFont="1">
      <alignment shrinkToFit="0" wrapText="1"/>
    </xf>
    <xf borderId="9" fillId="10" fontId="11" numFmtId="171" xfId="0" applyBorder="1" applyFill="1" applyFont="1" applyNumberFormat="1"/>
    <xf borderId="1" fillId="10" fontId="11" numFmtId="171" xfId="0" applyBorder="1" applyFill="1" applyFont="1" applyNumberFormat="1"/>
    <xf borderId="9" fillId="0" fontId="11" numFmtId="169" xfId="0" applyAlignment="1" applyBorder="1" applyFont="1" applyNumberFormat="1">
      <alignment horizontal="right"/>
    </xf>
    <xf borderId="9" fillId="10" fontId="11" numFmtId="168" xfId="0" applyAlignment="1" applyBorder="1" applyFill="1" applyFont="1" applyNumberFormat="1">
      <alignment horizontal="right"/>
    </xf>
    <xf borderId="0" fillId="0" fontId="19" numFmtId="166" xfId="0" applyAlignment="1" applyFont="1" applyNumberFormat="1">
      <alignment horizontal="center"/>
    </xf>
    <xf borderId="0" fillId="0" fontId="19" numFmtId="0" xfId="0" applyAlignment="1" applyFont="1">
      <alignment horizontal="center"/>
    </xf>
    <xf borderId="8" fillId="8" fontId="4" numFmtId="0" xfId="0" applyAlignment="1" applyBorder="1" applyFill="1" applyFont="1">
      <alignment shrinkToFit="0" wrapText="1"/>
    </xf>
    <xf borderId="9" fillId="0" fontId="11" numFmtId="0" xfId="0" applyAlignment="1" applyBorder="1" applyFont="1">
      <alignment readingOrder="0" shrinkToFit="0" vertical="bottom" wrapText="1"/>
    </xf>
    <xf borderId="9" fillId="0" fontId="11" numFmtId="0" xfId="0" applyAlignment="1" applyBorder="1" applyFont="1">
      <alignment shrinkToFit="0" vertical="bottom" wrapText="1"/>
    </xf>
    <xf borderId="9" fillId="0" fontId="11" numFmtId="172" xfId="0" applyBorder="1" applyFont="1" applyNumberFormat="1"/>
    <xf borderId="0" fillId="0" fontId="4" numFmtId="0" xfId="0" applyAlignment="1" applyFont="1">
      <alignment readingOrder="0" shrinkToFit="0" vertical="bottom" wrapText="1"/>
    </xf>
    <xf borderId="0" fillId="0" fontId="4" numFmtId="0" xfId="0" applyAlignment="1" applyFont="1">
      <alignment vertical="bottom"/>
    </xf>
    <xf borderId="13" fillId="11" fontId="26" numFmtId="0" xfId="0" applyAlignment="1" applyBorder="1" applyFill="1" applyFont="1">
      <alignment vertical="bottom"/>
    </xf>
    <xf borderId="13" fillId="12" fontId="27" numFmtId="0" xfId="0" applyAlignment="1" applyBorder="1" applyFill="1" applyFont="1">
      <alignment shrinkToFit="0" vertical="bottom" wrapText="1"/>
    </xf>
    <xf borderId="13" fillId="12" fontId="26" numFmtId="0" xfId="0" applyAlignment="1" applyBorder="1" applyFill="1" applyFont="1">
      <alignment shrinkToFit="0" vertical="bottom" wrapText="1"/>
    </xf>
    <xf borderId="14" fillId="0" fontId="10" numFmtId="0" xfId="0" applyBorder="1" applyFont="1"/>
    <xf borderId="12" fillId="11" fontId="26" numFmtId="168" xfId="0" applyAlignment="1" applyBorder="1" applyFill="1" applyFont="1" applyNumberFormat="1">
      <alignment readingOrder="0" vertical="bottom"/>
    </xf>
    <xf borderId="12" fillId="0" fontId="3" numFmtId="0" xfId="0" applyAlignment="1" applyBorder="1" applyFont="1">
      <alignment readingOrder="0"/>
    </xf>
    <xf borderId="12" fillId="4" fontId="27" numFmtId="0" xfId="0" applyAlignment="1" applyBorder="1" applyFill="1" applyFont="1">
      <alignment vertical="bottom"/>
    </xf>
    <xf borderId="12" fillId="4" fontId="27" numFmtId="0" xfId="0" applyAlignment="1" applyBorder="1" applyFill="1" applyFont="1">
      <alignment vertical="bottom"/>
    </xf>
    <xf borderId="12" fillId="0" fontId="3" numFmtId="0" xfId="0" applyAlignment="1" applyBorder="1" applyFont="1">
      <alignment readingOrder="0" shrinkToFit="0" wrapText="1"/>
    </xf>
    <xf borderId="12" fillId="0" fontId="3" numFmtId="3" xfId="0" applyAlignment="1" applyBorder="1" applyFont="1" applyNumberFormat="1">
      <alignment readingOrder="0"/>
    </xf>
    <xf borderId="12" fillId="0" fontId="3" numFmtId="0" xfId="0" applyBorder="1" applyFont="1"/>
    <xf borderId="0" fillId="0" fontId="4" numFmtId="0" xfId="0" applyAlignment="1" applyFont="1">
      <alignment readingOrder="0"/>
    </xf>
    <xf borderId="0" fillId="0" fontId="28" numFmtId="0" xfId="0" applyAlignment="1" applyFont="1">
      <alignment readingOrder="0" vertical="bottom"/>
    </xf>
    <xf borderId="0" fillId="0" fontId="28" numFmtId="0" xfId="0" applyAlignment="1" applyFont="1">
      <alignment readingOrder="0"/>
    </xf>
    <xf borderId="4" fillId="11" fontId="26" numFmtId="168" xfId="0" applyAlignment="1" applyBorder="1" applyFill="1" applyFont="1" applyNumberFormat="1">
      <alignment readingOrder="0" vertical="bottom"/>
    </xf>
    <xf borderId="0" fillId="0" fontId="11" numFmtId="0" xfId="0" applyAlignment="1" applyFont="1">
      <alignment readingOrder="0" shrinkToFit="0" wrapText="1"/>
    </xf>
    <xf borderId="0" fillId="3" fontId="4" numFmtId="3" xfId="0" applyAlignment="1" applyFill="1" applyFont="1" applyNumberFormat="1">
      <alignment readingOrder="0"/>
    </xf>
    <xf borderId="0" fillId="0" fontId="29" numFmtId="0" xfId="0" applyAlignment="1" applyFont="1">
      <alignment vertical="bottom"/>
    </xf>
    <xf borderId="0" fillId="0" fontId="30" numFmtId="0" xfId="0" applyAlignment="1" applyFont="1">
      <alignment readingOrder="0"/>
    </xf>
    <xf borderId="0" fillId="0" fontId="11" numFmtId="0" xfId="0" applyAlignment="1" applyFont="1">
      <alignment horizontal="center" vertical="bottom"/>
    </xf>
    <xf borderId="0" fillId="0" fontId="15" numFmtId="0" xfId="0" applyAlignment="1" applyFont="1">
      <alignment vertical="bottom"/>
    </xf>
    <xf borderId="0" fillId="0" fontId="15" numFmtId="0" xfId="0" applyAlignment="1" applyFont="1">
      <alignment readingOrder="0" shrinkToFit="0" vertical="bottom" wrapText="1"/>
    </xf>
    <xf borderId="0" fillId="0" fontId="15" numFmtId="0" xfId="0" applyAlignment="1" applyFont="1">
      <alignment readingOrder="0" vertical="bottom"/>
    </xf>
    <xf borderId="15" fillId="0" fontId="10" numFmtId="0" xfId="0" applyBorder="1" applyFont="1"/>
    <xf borderId="15" fillId="0" fontId="15" numFmtId="0" xfId="0" applyAlignment="1" applyBorder="1" applyFont="1">
      <alignment vertical="bottom"/>
    </xf>
    <xf borderId="15" fillId="0" fontId="15" numFmtId="0" xfId="0" applyAlignment="1" applyBorder="1" applyFont="1">
      <alignment readingOrder="0" shrinkToFit="0" vertical="bottom" wrapText="1"/>
    </xf>
    <xf borderId="15" fillId="0" fontId="15" numFmtId="0" xfId="0" applyAlignment="1" applyBorder="1" applyFont="1">
      <alignment readingOrder="0" vertical="bottom"/>
    </xf>
    <xf borderId="15" fillId="0" fontId="3" numFmtId="0" xfId="0" applyAlignment="1" applyBorder="1" applyFont="1">
      <alignment readingOrder="0"/>
    </xf>
    <xf borderId="0" fillId="0" fontId="15" numFmtId="0" xfId="0" applyAlignment="1" applyFont="1">
      <alignment horizontal="center" readingOrder="0" vertical="bottom"/>
    </xf>
    <xf borderId="15" fillId="0" fontId="3" numFmtId="0" xfId="0" applyAlignment="1" applyBorder="1" applyFont="1">
      <alignment readingOrder="0" shrinkToFit="0" wrapText="1"/>
    </xf>
    <xf borderId="0" fillId="0" fontId="11" numFmtId="0" xfId="0" applyAlignment="1" applyFont="1">
      <alignment horizontal="center" readingOrder="0" vertical="bottom"/>
    </xf>
    <xf borderId="1" fillId="13" fontId="31" numFmtId="0" xfId="0" applyAlignment="1" applyBorder="1" applyFill="1" applyFont="1">
      <alignment horizontal="center" vertical="bottom"/>
    </xf>
    <xf borderId="2" fillId="13" fontId="15" numFmtId="0" xfId="0" applyAlignment="1" applyBorder="1" applyFill="1" applyFont="1">
      <alignment vertical="bottom"/>
    </xf>
    <xf borderId="1" fillId="2" fontId="31" numFmtId="165" xfId="0" applyAlignment="1" applyBorder="1" applyFill="1" applyFont="1" applyNumberFormat="1">
      <alignment horizontal="center" vertical="bottom"/>
    </xf>
    <xf borderId="4" fillId="2" fontId="31" numFmtId="0" xfId="0" applyAlignment="1" applyBorder="1" applyFill="1" applyFont="1">
      <alignment horizontal="center"/>
    </xf>
    <xf borderId="9" fillId="2" fontId="31" numFmtId="0" xfId="0" applyAlignment="1" applyBorder="1" applyFill="1" applyFont="1">
      <alignment horizontal="center"/>
    </xf>
    <xf borderId="4" fillId="2" fontId="31" numFmtId="173" xfId="0" applyAlignment="1" applyBorder="1" applyFill="1" applyFont="1" applyNumberFormat="1">
      <alignment horizontal="center" vertical="bottom"/>
    </xf>
    <xf borderId="10" fillId="0" fontId="27" numFmtId="0" xfId="0" applyAlignment="1" applyBorder="1" applyFont="1">
      <alignment horizontal="center" vertical="bottom"/>
    </xf>
    <xf borderId="4" fillId="11" fontId="32" numFmtId="10" xfId="0" applyAlignment="1" applyBorder="1" applyFill="1" applyFont="1" applyNumberFormat="1">
      <alignment horizontal="right" vertical="bottom"/>
    </xf>
    <xf borderId="1" fillId="0" fontId="15" numFmtId="0" xfId="0" applyAlignment="1" applyBorder="1" applyFont="1">
      <alignment vertical="bottom"/>
    </xf>
    <xf borderId="2" fillId="0" fontId="15" numFmtId="0" xfId="0" applyAlignment="1" applyBorder="1" applyFont="1">
      <alignment vertical="bottom"/>
    </xf>
    <xf borderId="10" fillId="0" fontId="33" numFmtId="0" xfId="0" applyAlignment="1" applyBorder="1" applyFont="1">
      <alignment horizontal="right" vertical="bottom"/>
    </xf>
    <xf borderId="1" fillId="2" fontId="31" numFmtId="10" xfId="0" applyAlignment="1" applyBorder="1" applyFill="1" applyFont="1" applyNumberFormat="1">
      <alignment horizontal="center" vertical="bottom"/>
    </xf>
    <xf borderId="9" fillId="2" fontId="31" numFmtId="174" xfId="0" applyAlignment="1" applyBorder="1" applyFill="1" applyFont="1" applyNumberFormat="1">
      <alignment horizontal="center" vertical="bottom"/>
    </xf>
    <xf borderId="4" fillId="0" fontId="15" numFmtId="0" xfId="0" applyAlignment="1" applyBorder="1" applyFont="1">
      <alignment vertical="bottom"/>
    </xf>
    <xf borderId="4" fillId="11" fontId="34" numFmtId="10" xfId="0" applyAlignment="1" applyBorder="1" applyFill="1" applyFont="1" applyNumberFormat="1">
      <alignment horizontal="right" vertical="bottom"/>
    </xf>
    <xf borderId="0" fillId="0" fontId="4" numFmtId="0" xfId="0" applyFont="1"/>
    <xf borderId="0" fillId="4" fontId="22"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wrence Kiige" id="{9c4cd5ba-36f6-439e-96e0-a23542909f9e}" providerId="google-sheets"/>
  <x18tc:person displayName="Avilo Abel" id="{1c6230f8-a494-41e8-b721-6336a9ee3fc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2" dT="2024-10-03T10:24:17.00" personId="{1c6230f8-a494-41e8-b721-6336a9ee3fc4}" id="{c995e6aa-1f84-4803-9e3e-ef996d8c1138}" done="0">
    <x18tc:text xml:space="preserve">Hi Raymond, we might need little more light on this if possible please. are we designing the next fixtures for the top 4 teams on the respective tables or next top two fixtures on each league(that makes 4 teams)?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4-08-29T10:53:35.00" personId="{9c4cd5ba-36f6-439e-96e0-a23542909f9e}" id="{7868d5a0-cd40-4a16-b645-deeccc9477a4}" done="0">
    <x18tc:text xml:space="preserve">Had to let of the community manager for Uganda due to no delivery - have a replacement kicking off 1st septmeber,2024</x18tc:text>
  </x18tc:threadedComment>
  <x18tc:threadedComment ref="D14" dT="2024-08-29T10:54:43.00" personId="{9c4cd5ba-36f6-439e-96e0-a23542909f9e}" id="{a5dc747c-1ddc-4f3c-b4a1-047bdfbccf21}" done="0">
    <x18tc:text xml:space="preserve">We had issues with the Whatsapp fan group ban but is resolved and the talent is set to kick off 1st sep, 2024.</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x.com/kiwibet_ug/status/1841156646355050784?t=3UnZsEZ5W8GfX3dGB1_dpw&amp;s=19" TargetMode="External"/><Relationship Id="rId20" Type="http://schemas.openxmlformats.org/officeDocument/2006/relationships/hyperlink" Target="https://t.me/Africa22Bet/1233" TargetMode="External"/><Relationship Id="rId42" Type="http://schemas.openxmlformats.org/officeDocument/2006/relationships/drawing" Target="../drawings/drawing1.xml"/><Relationship Id="rId41" Type="http://schemas.openxmlformats.org/officeDocument/2006/relationships/hyperlink" Target="https://www.postermywall.com/index.php/art/template/0505446e0d06e6e05df54c0cdfeb077b/uganda-independence-day-design-template" TargetMode="External"/><Relationship Id="rId22" Type="http://schemas.openxmlformats.org/officeDocument/2006/relationships/hyperlink" Target="http://t.me/Africa22Bet/1233" TargetMode="External"/><Relationship Id="rId21" Type="http://schemas.openxmlformats.org/officeDocument/2006/relationships/hyperlink" Target="https://t.me/Africa22Bet/1230" TargetMode="External"/><Relationship Id="rId43" Type="http://schemas.openxmlformats.org/officeDocument/2006/relationships/vmlDrawing" Target="../drawings/vmlDrawing1.vml"/><Relationship Id="rId24" Type="http://schemas.openxmlformats.org/officeDocument/2006/relationships/hyperlink" Target="https://docs.google.com/document/d/1kxzVU0-MvjZFrh1HZhW-KaR08fQojNOufPmafPWsbWk/edit?usp=sharing" TargetMode="External"/><Relationship Id="rId23" Type="http://schemas.openxmlformats.org/officeDocument/2006/relationships/hyperlink" Target="http://t.me/Africa22Bet/123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t3Hvaa8x3zs_GRFC4nxnXtnDRwUWQGJP" TargetMode="External"/><Relationship Id="rId9" Type="http://schemas.openxmlformats.org/officeDocument/2006/relationships/hyperlink" Target="https://aff.ninja/wp-content/uploads/2024/02/Partners-1xBet-Registration-1024x462.webp" TargetMode="External"/><Relationship Id="rId26" Type="http://schemas.openxmlformats.org/officeDocument/2006/relationships/hyperlink" Target="https://t.me/Africa22Bet/1280" TargetMode="External"/><Relationship Id="rId25" Type="http://schemas.openxmlformats.org/officeDocument/2006/relationships/hyperlink" Target="https://t.me/paripesa_africa/2346" TargetMode="External"/><Relationship Id="rId28" Type="http://schemas.openxmlformats.org/officeDocument/2006/relationships/hyperlink" Target="https://t.me/PariPesaNigeria/5488" TargetMode="External"/><Relationship Id="rId27" Type="http://schemas.openxmlformats.org/officeDocument/2006/relationships/hyperlink" Target="https://t.me/PariPesaNigeria/5487" TargetMode="External"/><Relationship Id="rId5" Type="http://schemas.openxmlformats.org/officeDocument/2006/relationships/hyperlink" Target="https://goldpari.partners/" TargetMode="External"/><Relationship Id="rId6" Type="http://schemas.openxmlformats.org/officeDocument/2006/relationships/hyperlink" Target="https://goldpari.partners/" TargetMode="External"/><Relationship Id="rId29" Type="http://schemas.openxmlformats.org/officeDocument/2006/relationships/hyperlink" Target="https://linkfly.to/goldpari" TargetMode="External"/><Relationship Id="rId7" Type="http://schemas.openxmlformats.org/officeDocument/2006/relationships/hyperlink" Target="https://goldpari.partners/" TargetMode="External"/><Relationship Id="rId8" Type="http://schemas.openxmlformats.org/officeDocument/2006/relationships/hyperlink" Target="https://goldpari.partners/sign-up" TargetMode="External"/><Relationship Id="rId31" Type="http://schemas.openxmlformats.org/officeDocument/2006/relationships/hyperlink" Target="https://t.me/PariPesaNigeria/5566" TargetMode="External"/><Relationship Id="rId30" Type="http://schemas.openxmlformats.org/officeDocument/2006/relationships/hyperlink" Target="https://t.me/PariPesaNigeria/5566" TargetMode="External"/><Relationship Id="rId11" Type="http://schemas.openxmlformats.org/officeDocument/2006/relationships/hyperlink" Target="https://goldpari.com/bonus/rules/3_percent_weekly_cashback" TargetMode="External"/><Relationship Id="rId33" Type="http://schemas.openxmlformats.org/officeDocument/2006/relationships/hyperlink" Target="https://t.me/paripesa_africa/2435" TargetMode="External"/><Relationship Id="rId10" Type="http://schemas.openxmlformats.org/officeDocument/2006/relationships/hyperlink" Target="https://goldpari.com/bonus/rules/1st-300" TargetMode="External"/><Relationship Id="rId32" Type="http://schemas.openxmlformats.org/officeDocument/2006/relationships/hyperlink" Target="https://t.me/PariPesaNigeria/5573" TargetMode="External"/><Relationship Id="rId13" Type="http://schemas.openxmlformats.org/officeDocument/2006/relationships/hyperlink" Target="https://goldpari.com/bonus/rules/birthday" TargetMode="External"/><Relationship Id="rId35" Type="http://schemas.openxmlformats.org/officeDocument/2006/relationships/hyperlink" Target="https://t.me/paripesa_africa/2435" TargetMode="External"/><Relationship Id="rId12" Type="http://schemas.openxmlformats.org/officeDocument/2006/relationships/hyperlink" Target="https://goldpari.com/bonus/rules/doverie" TargetMode="External"/><Relationship Id="rId34" Type="http://schemas.openxmlformats.org/officeDocument/2006/relationships/hyperlink" Target="https://t.me/paripesa_africa/2435" TargetMode="External"/><Relationship Id="rId15" Type="http://schemas.openxmlformats.org/officeDocument/2006/relationships/hyperlink" Target="https://goldpari.com/bonus/rules/loss20" TargetMode="External"/><Relationship Id="rId37" Type="http://schemas.openxmlformats.org/officeDocument/2006/relationships/hyperlink" Target="https://t.me/paripesa_africa/2427" TargetMode="External"/><Relationship Id="rId14" Type="http://schemas.openxmlformats.org/officeDocument/2006/relationships/hyperlink" Target="https://goldpari.com/bonus/rules/express" TargetMode="External"/><Relationship Id="rId36" Type="http://schemas.openxmlformats.org/officeDocument/2006/relationships/hyperlink" Target="https://t.me/paripesa_africa/2439" TargetMode="External"/><Relationship Id="rId17" Type="http://schemas.openxmlformats.org/officeDocument/2006/relationships/hyperlink" Target="https://docs.google.com/document/d/1Ev9izPQtROHM9tm_sNXkh5J7ZHCfDbRUDqm3-mQzWoQ/edit?usp=sharing" TargetMode="External"/><Relationship Id="rId39" Type="http://schemas.openxmlformats.org/officeDocument/2006/relationships/hyperlink" Target="https://t.me/paripesa_africa/2460" TargetMode="External"/><Relationship Id="rId16" Type="http://schemas.openxmlformats.org/officeDocument/2006/relationships/hyperlink" Target="https://goldpari.com/bonus/rules/vip_cashback" TargetMode="External"/><Relationship Id="rId38" Type="http://schemas.openxmlformats.org/officeDocument/2006/relationships/hyperlink" Target="https://t.me/paripesa_africa/2434" TargetMode="External"/><Relationship Id="rId19" Type="http://schemas.openxmlformats.org/officeDocument/2006/relationships/hyperlink" Target="https://t.me/Africa22Bet/1233" TargetMode="External"/><Relationship Id="rId18" Type="http://schemas.openxmlformats.org/officeDocument/2006/relationships/hyperlink" Target="https://docs.google.com/document/d/1l6JdvyTRpv2An0dwlmCnchdxR8-02qB9JuSiKgHRTBw/edit?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oldpari.com/" TargetMode="External"/><Relationship Id="rId2" Type="http://schemas.openxmlformats.org/officeDocument/2006/relationships/hyperlink" Target="https://goldpari.com/" TargetMode="External"/><Relationship Id="rId3" Type="http://schemas.openxmlformats.org/officeDocument/2006/relationships/hyperlink" Target="https://goldpari.com/" TargetMode="External"/><Relationship Id="rId4" Type="http://schemas.openxmlformats.org/officeDocument/2006/relationships/hyperlink" Target="https://goldpari.com/" TargetMode="External"/><Relationship Id="rId5" Type="http://schemas.openxmlformats.org/officeDocument/2006/relationships/hyperlink" Target="https://goldpari.com/" TargetMode="External"/><Relationship Id="rId6" Type="http://schemas.openxmlformats.org/officeDocument/2006/relationships/hyperlink" Target="https://goldpari.com/?tag=d_3556679m_69627" TargetMode="External"/><Relationship Id="rId7" Type="http://schemas.openxmlformats.org/officeDocument/2006/relationships/hyperlink" Target="https://goldpari.com/?tag=d_3556679m_69627"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pari.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5"/>
    <col customWidth="1" min="3" max="4" width="18.88"/>
    <col customWidth="1" min="5" max="5" width="99.88"/>
    <col customWidth="1" min="6" max="6" width="37.38"/>
    <col customWidth="1" min="7" max="7" width="28.63"/>
    <col customWidth="1" min="8" max="8" width="18.88"/>
    <col customWidth="1" min="9" max="9" width="41.88"/>
    <col customWidth="1" min="10" max="10" width="18.88"/>
  </cols>
  <sheetData>
    <row r="1">
      <c r="A1" s="3" t="s">
        <v>2</v>
      </c>
      <c r="B1" s="3" t="s">
        <v>7</v>
      </c>
      <c r="C1" s="3" t="s">
        <v>3</v>
      </c>
      <c r="D1" s="3" t="s">
        <v>13</v>
      </c>
      <c r="E1" s="6" t="s">
        <v>19</v>
      </c>
      <c r="F1" s="3" t="s">
        <v>21</v>
      </c>
      <c r="G1" s="3" t="s">
        <v>23</v>
      </c>
      <c r="H1" s="10" t="s">
        <v>27</v>
      </c>
      <c r="I1" s="18" t="s">
        <v>38</v>
      </c>
      <c r="J1" s="10" t="s">
        <v>86</v>
      </c>
    </row>
    <row r="2">
      <c r="A2" s="19">
        <v>45524.11223938657</v>
      </c>
      <c r="B2" s="7" t="s">
        <v>107</v>
      </c>
      <c r="C2" s="7" t="s">
        <v>133</v>
      </c>
      <c r="D2" s="7" t="s">
        <v>147</v>
      </c>
      <c r="E2" s="23" t="s">
        <v>151</v>
      </c>
      <c r="F2" s="7" t="s">
        <v>154</v>
      </c>
      <c r="G2" s="27">
        <v>45525.0</v>
      </c>
      <c r="H2" s="28"/>
      <c r="J2" s="28"/>
    </row>
    <row r="3">
      <c r="A3" s="19">
        <v>45524.61039666667</v>
      </c>
      <c r="B3" s="7" t="s">
        <v>155</v>
      </c>
      <c r="C3" s="7" t="s">
        <v>156</v>
      </c>
      <c r="D3" s="7" t="s">
        <v>147</v>
      </c>
      <c r="E3" s="23" t="s">
        <v>157</v>
      </c>
      <c r="F3" s="7" t="s">
        <v>154</v>
      </c>
      <c r="G3" s="27">
        <v>45525.0</v>
      </c>
      <c r="H3" s="28"/>
      <c r="J3" s="28"/>
    </row>
    <row r="4">
      <c r="A4" s="19">
        <v>45524.624470243056</v>
      </c>
      <c r="B4" s="7" t="s">
        <v>107</v>
      </c>
      <c r="C4" s="7" t="s">
        <v>133</v>
      </c>
      <c r="D4" s="7" t="s">
        <v>147</v>
      </c>
      <c r="E4" s="23" t="s">
        <v>158</v>
      </c>
      <c r="F4" s="7" t="s">
        <v>154</v>
      </c>
      <c r="G4" s="27">
        <v>45525.0</v>
      </c>
      <c r="H4" s="28"/>
      <c r="J4" s="28"/>
    </row>
    <row r="5">
      <c r="A5" s="19">
        <v>45524.93767587963</v>
      </c>
      <c r="B5" s="7" t="s">
        <v>159</v>
      </c>
      <c r="C5" s="7" t="s">
        <v>149</v>
      </c>
      <c r="D5" s="7" t="s">
        <v>160</v>
      </c>
      <c r="E5" s="23" t="s">
        <v>161</v>
      </c>
      <c r="F5" s="40" t="s">
        <v>162</v>
      </c>
      <c r="G5" s="27">
        <v>45524.0</v>
      </c>
      <c r="H5" s="28"/>
      <c r="J5" s="28"/>
    </row>
    <row r="6">
      <c r="A6" s="19">
        <v>45524.940458275465</v>
      </c>
      <c r="B6" s="7" t="s">
        <v>166</v>
      </c>
      <c r="C6" s="7" t="s">
        <v>149</v>
      </c>
      <c r="D6" s="7" t="s">
        <v>147</v>
      </c>
      <c r="E6" s="23" t="s">
        <v>168</v>
      </c>
      <c r="F6" s="7" t="s">
        <v>154</v>
      </c>
      <c r="G6" s="27">
        <v>45525.0</v>
      </c>
      <c r="H6" s="28"/>
      <c r="J6" s="28"/>
    </row>
    <row r="7">
      <c r="A7" s="19">
        <v>45524.9409084375</v>
      </c>
      <c r="B7" s="7" t="s">
        <v>159</v>
      </c>
      <c r="C7" s="7" t="s">
        <v>149</v>
      </c>
      <c r="D7" s="7" t="s">
        <v>160</v>
      </c>
      <c r="E7" s="23" t="s">
        <v>170</v>
      </c>
      <c r="F7" s="40" t="s">
        <v>162</v>
      </c>
      <c r="G7" s="27">
        <v>45524.0</v>
      </c>
      <c r="H7" s="28"/>
      <c r="J7" s="28"/>
    </row>
    <row r="8">
      <c r="A8" s="19">
        <v>45524.944712337965</v>
      </c>
      <c r="B8" s="7" t="s">
        <v>159</v>
      </c>
      <c r="C8" s="7" t="s">
        <v>149</v>
      </c>
      <c r="D8" s="7" t="s">
        <v>160</v>
      </c>
      <c r="E8" s="23" t="s">
        <v>171</v>
      </c>
      <c r="F8" s="40" t="s">
        <v>162</v>
      </c>
      <c r="G8" s="27">
        <v>45524.0</v>
      </c>
      <c r="H8" s="28"/>
      <c r="J8" s="28"/>
    </row>
    <row r="9">
      <c r="A9" s="19">
        <v>45524.95090601852</v>
      </c>
      <c r="B9" s="7" t="s">
        <v>159</v>
      </c>
      <c r="C9" s="7" t="s">
        <v>149</v>
      </c>
      <c r="D9" s="7" t="s">
        <v>160</v>
      </c>
      <c r="E9" s="51" t="s">
        <v>177</v>
      </c>
      <c r="F9" s="40" t="s">
        <v>181</v>
      </c>
      <c r="G9" s="27">
        <v>45524.0</v>
      </c>
      <c r="H9" s="28"/>
      <c r="J9" s="28"/>
    </row>
    <row r="10">
      <c r="A10" s="19">
        <v>45524.966794050924</v>
      </c>
      <c r="B10" s="7" t="s">
        <v>159</v>
      </c>
      <c r="C10" s="7" t="s">
        <v>149</v>
      </c>
      <c r="D10" s="7" t="s">
        <v>160</v>
      </c>
      <c r="E10" s="23" t="s">
        <v>186</v>
      </c>
      <c r="F10" s="40" t="s">
        <v>187</v>
      </c>
      <c r="G10" s="27">
        <v>45524.0</v>
      </c>
      <c r="H10" s="28"/>
      <c r="J10" s="28"/>
    </row>
    <row r="11">
      <c r="A11" s="19">
        <v>45524.97131466435</v>
      </c>
      <c r="B11" s="7" t="s">
        <v>159</v>
      </c>
      <c r="C11" s="7" t="s">
        <v>149</v>
      </c>
      <c r="D11" s="7" t="s">
        <v>160</v>
      </c>
      <c r="E11" s="23" t="s">
        <v>191</v>
      </c>
      <c r="F11" s="40" t="s">
        <v>192</v>
      </c>
      <c r="G11" s="27">
        <v>45524.0</v>
      </c>
      <c r="H11" s="28"/>
      <c r="J11" s="28"/>
    </row>
    <row r="12">
      <c r="A12" s="19">
        <v>45524.97357592593</v>
      </c>
      <c r="B12" s="7" t="s">
        <v>159</v>
      </c>
      <c r="C12" s="7" t="s">
        <v>149</v>
      </c>
      <c r="D12" s="7" t="s">
        <v>160</v>
      </c>
      <c r="E12" s="23" t="s">
        <v>200</v>
      </c>
      <c r="F12" s="40" t="s">
        <v>201</v>
      </c>
      <c r="G12" s="27">
        <v>45524.0</v>
      </c>
      <c r="H12" s="28"/>
      <c r="J12" s="28"/>
    </row>
    <row r="13">
      <c r="A13" s="19">
        <v>45524.97649789352</v>
      </c>
      <c r="B13" s="7" t="s">
        <v>159</v>
      </c>
      <c r="C13" s="7" t="s">
        <v>149</v>
      </c>
      <c r="D13" s="7" t="s">
        <v>160</v>
      </c>
      <c r="E13" s="23" t="s">
        <v>204</v>
      </c>
      <c r="F13" s="40" t="s">
        <v>206</v>
      </c>
      <c r="G13" s="27">
        <v>45524.0</v>
      </c>
      <c r="H13" s="28"/>
      <c r="J13" s="28"/>
    </row>
    <row r="14">
      <c r="A14" s="19">
        <v>45524.98690606482</v>
      </c>
      <c r="B14" s="7" t="s">
        <v>149</v>
      </c>
      <c r="C14" s="7" t="s">
        <v>149</v>
      </c>
      <c r="D14" s="7" t="s">
        <v>160</v>
      </c>
      <c r="E14" s="23" t="s">
        <v>211</v>
      </c>
      <c r="F14" s="40" t="s">
        <v>212</v>
      </c>
      <c r="G14" s="27">
        <v>45524.0</v>
      </c>
      <c r="H14" s="28"/>
      <c r="J14" s="28"/>
    </row>
    <row r="15">
      <c r="A15" s="19">
        <v>45524.99274353009</v>
      </c>
      <c r="B15" s="7" t="s">
        <v>216</v>
      </c>
      <c r="C15" s="7" t="s">
        <v>149</v>
      </c>
      <c r="D15" s="7" t="s">
        <v>160</v>
      </c>
      <c r="E15" s="23" t="s">
        <v>218</v>
      </c>
      <c r="F15" s="40" t="s">
        <v>219</v>
      </c>
      <c r="G15" s="27">
        <v>45524.0</v>
      </c>
      <c r="H15" s="28"/>
      <c r="J15" s="28"/>
    </row>
    <row r="16">
      <c r="A16" s="19">
        <v>45524.99489625</v>
      </c>
      <c r="B16" s="7" t="s">
        <v>159</v>
      </c>
      <c r="C16" s="7" t="s">
        <v>149</v>
      </c>
      <c r="D16" s="7" t="s">
        <v>160</v>
      </c>
      <c r="E16" s="23" t="s">
        <v>223</v>
      </c>
      <c r="F16" s="40" t="s">
        <v>224</v>
      </c>
      <c r="G16" s="27">
        <v>45524.0</v>
      </c>
      <c r="H16" s="28"/>
      <c r="J16" s="28"/>
    </row>
    <row r="17">
      <c r="A17" s="19">
        <v>45525.5646677662</v>
      </c>
      <c r="B17" s="7" t="s">
        <v>166</v>
      </c>
      <c r="C17" s="7" t="s">
        <v>149</v>
      </c>
      <c r="D17" s="7" t="s">
        <v>147</v>
      </c>
      <c r="E17" s="23" t="s">
        <v>227</v>
      </c>
      <c r="F17" s="7" t="s">
        <v>154</v>
      </c>
      <c r="G17" s="27">
        <v>45526.0</v>
      </c>
      <c r="H17" s="28"/>
      <c r="J17" s="28"/>
    </row>
    <row r="18">
      <c r="A18" s="19">
        <v>45525.56740590278</v>
      </c>
      <c r="B18" s="7" t="s">
        <v>166</v>
      </c>
      <c r="C18" s="7" t="s">
        <v>149</v>
      </c>
      <c r="D18" s="7" t="s">
        <v>147</v>
      </c>
      <c r="E18" s="23" t="s">
        <v>229</v>
      </c>
      <c r="F18" s="7" t="s">
        <v>154</v>
      </c>
      <c r="G18" s="27">
        <v>45526.0</v>
      </c>
      <c r="H18" s="28"/>
      <c r="J18" s="28"/>
    </row>
    <row r="19">
      <c r="A19" s="19">
        <v>45525.57116599537</v>
      </c>
      <c r="B19" s="7" t="s">
        <v>166</v>
      </c>
      <c r="C19" s="7" t="s">
        <v>149</v>
      </c>
      <c r="D19" s="7" t="s">
        <v>147</v>
      </c>
      <c r="E19" s="23" t="s">
        <v>231</v>
      </c>
      <c r="F19" s="7" t="s">
        <v>154</v>
      </c>
      <c r="G19" s="27">
        <v>45526.0</v>
      </c>
      <c r="H19" s="28"/>
      <c r="J19" s="28"/>
    </row>
    <row r="20">
      <c r="A20" s="19">
        <v>45532.69105980324</v>
      </c>
      <c r="B20" s="7" t="s">
        <v>107</v>
      </c>
      <c r="C20" s="7" t="s">
        <v>133</v>
      </c>
      <c r="D20" s="7" t="s">
        <v>160</v>
      </c>
      <c r="E20" s="55" t="s">
        <v>235</v>
      </c>
      <c r="F20" s="7" t="s">
        <v>154</v>
      </c>
      <c r="G20" s="27">
        <v>45534.0</v>
      </c>
      <c r="H20" s="28"/>
      <c r="J20" s="28"/>
    </row>
    <row r="21">
      <c r="A21" s="19">
        <v>45532.69353174769</v>
      </c>
      <c r="B21" s="7" t="s">
        <v>238</v>
      </c>
      <c r="C21" s="7" t="s">
        <v>133</v>
      </c>
      <c r="D21" s="7" t="s">
        <v>160</v>
      </c>
      <c r="E21" s="23" t="s">
        <v>240</v>
      </c>
      <c r="F21" s="7" t="s">
        <v>154</v>
      </c>
      <c r="G21" s="27">
        <v>45534.0</v>
      </c>
      <c r="H21" s="28"/>
      <c r="J21" s="28"/>
    </row>
    <row r="22">
      <c r="A22" s="19">
        <v>45532.6956268287</v>
      </c>
      <c r="B22" s="7" t="s">
        <v>238</v>
      </c>
      <c r="C22" s="7" t="s">
        <v>133</v>
      </c>
      <c r="D22" s="7" t="s">
        <v>160</v>
      </c>
      <c r="E22" s="23" t="s">
        <v>244</v>
      </c>
      <c r="F22" s="7" t="s">
        <v>154</v>
      </c>
      <c r="G22" s="27">
        <v>45535.0</v>
      </c>
      <c r="H22" s="28"/>
      <c r="J22" s="28"/>
    </row>
    <row r="23">
      <c r="A23" s="19">
        <v>45532.69782439814</v>
      </c>
      <c r="B23" s="7" t="s">
        <v>238</v>
      </c>
      <c r="C23" s="7" t="s">
        <v>133</v>
      </c>
      <c r="D23" s="7" t="s">
        <v>160</v>
      </c>
      <c r="E23" s="23" t="s">
        <v>247</v>
      </c>
      <c r="F23" s="7" t="s">
        <v>154</v>
      </c>
      <c r="G23" s="27">
        <v>45535.0</v>
      </c>
      <c r="H23" s="28"/>
      <c r="J23" s="28"/>
    </row>
    <row r="24">
      <c r="A24" s="19">
        <v>45533.50713607639</v>
      </c>
      <c r="B24" s="7" t="s">
        <v>248</v>
      </c>
      <c r="C24" s="7" t="s">
        <v>156</v>
      </c>
      <c r="D24" s="7" t="s">
        <v>160</v>
      </c>
      <c r="E24" s="23" t="s">
        <v>252</v>
      </c>
      <c r="F24" s="7" t="s">
        <v>154</v>
      </c>
      <c r="G24" s="27">
        <v>45533.0</v>
      </c>
      <c r="H24" s="28"/>
      <c r="J24" s="28"/>
    </row>
    <row r="25">
      <c r="A25" s="19">
        <v>45533.511159525464</v>
      </c>
      <c r="B25" s="7" t="s">
        <v>248</v>
      </c>
      <c r="C25" s="7" t="s">
        <v>156</v>
      </c>
      <c r="D25" s="7" t="s">
        <v>160</v>
      </c>
      <c r="E25" s="55" t="s">
        <v>255</v>
      </c>
      <c r="F25" s="7" t="s">
        <v>154</v>
      </c>
      <c r="G25" s="27">
        <v>45533.0</v>
      </c>
      <c r="H25" s="28"/>
      <c r="J25" s="28"/>
    </row>
    <row r="26">
      <c r="A26" s="19">
        <v>45533.52616678241</v>
      </c>
      <c r="B26" s="7" t="s">
        <v>248</v>
      </c>
      <c r="C26" s="7" t="s">
        <v>156</v>
      </c>
      <c r="D26" s="7" t="s">
        <v>160</v>
      </c>
      <c r="E26" s="55" t="s">
        <v>258</v>
      </c>
      <c r="F26" s="7" t="s">
        <v>154</v>
      </c>
      <c r="G26" s="27">
        <v>45535.0</v>
      </c>
      <c r="H26" s="28"/>
      <c r="J26" s="28"/>
    </row>
    <row r="27">
      <c r="A27" s="19">
        <v>45533.6113665625</v>
      </c>
      <c r="B27" s="7" t="s">
        <v>259</v>
      </c>
      <c r="C27" s="7" t="s">
        <v>149</v>
      </c>
      <c r="D27" s="7" t="s">
        <v>160</v>
      </c>
      <c r="E27" s="23" t="s">
        <v>260</v>
      </c>
      <c r="F27" s="40" t="s">
        <v>261</v>
      </c>
      <c r="G27" s="27">
        <v>45534.0</v>
      </c>
      <c r="H27" s="28"/>
      <c r="J27" s="28"/>
    </row>
    <row r="28">
      <c r="A28" s="19">
        <v>45534.48999996528</v>
      </c>
      <c r="B28" s="7" t="s">
        <v>248</v>
      </c>
      <c r="C28" s="7" t="s">
        <v>156</v>
      </c>
      <c r="D28" s="7" t="s">
        <v>160</v>
      </c>
      <c r="E28" s="23" t="s">
        <v>269</v>
      </c>
      <c r="F28" s="7" t="s">
        <v>154</v>
      </c>
      <c r="G28" s="27">
        <v>45535.0</v>
      </c>
      <c r="H28" s="28"/>
      <c r="J28" s="28"/>
    </row>
    <row r="29">
      <c r="A29" s="19">
        <v>45534.79644810186</v>
      </c>
      <c r="B29" s="7" t="s">
        <v>270</v>
      </c>
      <c r="C29" s="7" t="s">
        <v>149</v>
      </c>
      <c r="D29" s="7" t="s">
        <v>160</v>
      </c>
      <c r="E29" s="7" t="s">
        <v>274</v>
      </c>
      <c r="F29" s="40" t="s">
        <v>276</v>
      </c>
      <c r="G29" s="27">
        <v>45535.0</v>
      </c>
      <c r="H29" s="28"/>
      <c r="J29" s="28"/>
    </row>
    <row r="30">
      <c r="A30" s="19">
        <v>45534.847941562504</v>
      </c>
      <c r="B30" s="7" t="s">
        <v>286</v>
      </c>
      <c r="C30" s="7" t="s">
        <v>156</v>
      </c>
      <c r="D30" s="7" t="s">
        <v>160</v>
      </c>
      <c r="E30" s="7" t="s">
        <v>287</v>
      </c>
      <c r="F30" s="7" t="s">
        <v>154</v>
      </c>
      <c r="G30" s="27">
        <v>45534.0</v>
      </c>
      <c r="H30" s="28"/>
      <c r="J30" s="28"/>
    </row>
    <row r="31">
      <c r="A31" s="19">
        <v>45537.66009070602</v>
      </c>
      <c r="B31" s="7" t="s">
        <v>248</v>
      </c>
      <c r="C31" s="7" t="s">
        <v>156</v>
      </c>
      <c r="D31" s="7" t="s">
        <v>160</v>
      </c>
      <c r="E31" s="7" t="s">
        <v>290</v>
      </c>
      <c r="F31" s="7" t="s">
        <v>154</v>
      </c>
      <c r="G31" s="27">
        <v>45537.0</v>
      </c>
      <c r="H31" s="28"/>
      <c r="J31" s="28"/>
    </row>
    <row r="32">
      <c r="A32" s="19">
        <v>45537.66939083333</v>
      </c>
      <c r="B32" s="7" t="s">
        <v>248</v>
      </c>
      <c r="C32" s="7" t="s">
        <v>156</v>
      </c>
      <c r="D32" s="7" t="s">
        <v>160</v>
      </c>
      <c r="E32" s="7" t="s">
        <v>291</v>
      </c>
      <c r="F32" s="7" t="s">
        <v>154</v>
      </c>
      <c r="G32" s="27">
        <v>45537.0</v>
      </c>
      <c r="H32" s="28"/>
      <c r="J32" s="28"/>
    </row>
    <row r="33">
      <c r="A33" s="19">
        <v>45537.67079065972</v>
      </c>
      <c r="B33" s="7" t="s">
        <v>248</v>
      </c>
      <c r="C33" s="7" t="s">
        <v>156</v>
      </c>
      <c r="D33" s="7" t="s">
        <v>160</v>
      </c>
      <c r="E33" s="7" t="s">
        <v>294</v>
      </c>
      <c r="F33" s="7" t="s">
        <v>154</v>
      </c>
      <c r="G33" s="27">
        <v>45542.0</v>
      </c>
      <c r="H33" s="28"/>
      <c r="J33" s="28"/>
    </row>
    <row r="34">
      <c r="A34" s="19">
        <v>45537.79714564815</v>
      </c>
      <c r="B34" s="7" t="s">
        <v>296</v>
      </c>
      <c r="C34" s="7" t="s">
        <v>133</v>
      </c>
      <c r="D34" s="7" t="s">
        <v>147</v>
      </c>
      <c r="E34" s="7" t="s">
        <v>297</v>
      </c>
      <c r="F34" s="40" t="s">
        <v>299</v>
      </c>
      <c r="G34" s="27">
        <v>45539.0</v>
      </c>
      <c r="H34" s="28"/>
      <c r="J34" s="28"/>
    </row>
    <row r="35">
      <c r="A35" s="19">
        <v>45537.80027784722</v>
      </c>
      <c r="B35" s="7" t="s">
        <v>296</v>
      </c>
      <c r="C35" s="7" t="s">
        <v>133</v>
      </c>
      <c r="D35" s="7" t="s">
        <v>147</v>
      </c>
      <c r="E35" s="7" t="s">
        <v>304</v>
      </c>
      <c r="F35" s="40" t="s">
        <v>299</v>
      </c>
      <c r="G35" s="27">
        <v>45540.0</v>
      </c>
      <c r="H35" s="28"/>
      <c r="J35" s="28"/>
    </row>
    <row r="36">
      <c r="A36" s="19">
        <v>45537.80305540509</v>
      </c>
      <c r="B36" s="7" t="s">
        <v>296</v>
      </c>
      <c r="C36" s="7" t="s">
        <v>133</v>
      </c>
      <c r="D36" s="7" t="s">
        <v>147</v>
      </c>
      <c r="E36" s="7" t="s">
        <v>306</v>
      </c>
      <c r="F36" s="40" t="s">
        <v>307</v>
      </c>
      <c r="G36" s="27">
        <v>45540.0</v>
      </c>
      <c r="H36" s="28"/>
      <c r="J36" s="28"/>
    </row>
    <row r="37">
      <c r="A37" s="19">
        <v>45538.49379847222</v>
      </c>
      <c r="B37" s="7" t="s">
        <v>248</v>
      </c>
      <c r="C37" s="7" t="s">
        <v>156</v>
      </c>
      <c r="D37" s="7" t="s">
        <v>147</v>
      </c>
      <c r="E37" s="7" t="s">
        <v>311</v>
      </c>
      <c r="F37" s="7" t="s">
        <v>154</v>
      </c>
      <c r="G37" s="27">
        <v>45542.0</v>
      </c>
      <c r="H37" s="28"/>
      <c r="J37" s="28"/>
    </row>
    <row r="38">
      <c r="A38" s="19">
        <v>45538.49532761574</v>
      </c>
      <c r="B38" s="7" t="s">
        <v>248</v>
      </c>
      <c r="C38" s="7" t="s">
        <v>156</v>
      </c>
      <c r="D38" s="7" t="s">
        <v>147</v>
      </c>
      <c r="E38" s="7" t="s">
        <v>313</v>
      </c>
      <c r="F38" s="7" t="s">
        <v>154</v>
      </c>
      <c r="G38" s="27">
        <v>45541.0</v>
      </c>
      <c r="H38" s="28"/>
      <c r="J38" s="28"/>
    </row>
    <row r="39">
      <c r="A39" s="19">
        <v>45538.503643460645</v>
      </c>
      <c r="B39" s="7" t="s">
        <v>248</v>
      </c>
      <c r="C39" s="7" t="s">
        <v>156</v>
      </c>
      <c r="D39" s="7" t="s">
        <v>147</v>
      </c>
      <c r="E39" s="7" t="s">
        <v>315</v>
      </c>
      <c r="F39" s="40" t="s">
        <v>317</v>
      </c>
      <c r="G39" s="27">
        <v>45542.0</v>
      </c>
      <c r="H39" s="28"/>
      <c r="J39" s="28"/>
    </row>
    <row r="40">
      <c r="A40" s="19">
        <v>45538.50699782408</v>
      </c>
      <c r="B40" s="7" t="s">
        <v>248</v>
      </c>
      <c r="C40" s="7" t="s">
        <v>156</v>
      </c>
      <c r="D40" s="7" t="s">
        <v>147</v>
      </c>
      <c r="E40" s="7" t="s">
        <v>321</v>
      </c>
      <c r="F40" s="40" t="s">
        <v>323</v>
      </c>
      <c r="G40" s="27">
        <v>45545.0</v>
      </c>
      <c r="H40" s="28"/>
      <c r="J40" s="28"/>
    </row>
    <row r="41">
      <c r="A41" s="19">
        <v>45538.67377797454</v>
      </c>
      <c r="B41" s="7" t="s">
        <v>259</v>
      </c>
      <c r="C41" s="7" t="s">
        <v>149</v>
      </c>
      <c r="D41" s="7" t="s">
        <v>160</v>
      </c>
      <c r="E41" s="7" t="s">
        <v>326</v>
      </c>
      <c r="F41" s="40" t="s">
        <v>327</v>
      </c>
      <c r="G41" s="27">
        <v>45539.0</v>
      </c>
      <c r="H41" s="28"/>
      <c r="J41" s="28"/>
    </row>
    <row r="42">
      <c r="A42" s="19">
        <v>45539.46943239583</v>
      </c>
      <c r="B42" s="7" t="s">
        <v>248</v>
      </c>
      <c r="C42" s="7" t="s">
        <v>156</v>
      </c>
      <c r="D42" s="7" t="s">
        <v>160</v>
      </c>
      <c r="E42" s="7" t="s">
        <v>334</v>
      </c>
      <c r="F42" s="40" t="s">
        <v>335</v>
      </c>
      <c r="G42" s="27">
        <v>45539.0</v>
      </c>
      <c r="H42" s="28"/>
      <c r="J42" s="28"/>
    </row>
    <row r="43">
      <c r="A43" s="19">
        <v>45540.483658275465</v>
      </c>
      <c r="B43" s="7" t="s">
        <v>296</v>
      </c>
      <c r="C43" s="7" t="s">
        <v>133</v>
      </c>
      <c r="D43" s="7" t="s">
        <v>147</v>
      </c>
      <c r="E43" s="7" t="s">
        <v>338</v>
      </c>
      <c r="F43" s="7" t="s">
        <v>154</v>
      </c>
      <c r="G43" s="27">
        <v>45541.0</v>
      </c>
      <c r="H43" s="28"/>
      <c r="J43" s="28"/>
    </row>
    <row r="44">
      <c r="A44" s="19">
        <v>45540.484565798615</v>
      </c>
      <c r="B44" s="7" t="s">
        <v>296</v>
      </c>
      <c r="C44" s="7" t="s">
        <v>133</v>
      </c>
      <c r="D44" s="7" t="s">
        <v>147</v>
      </c>
      <c r="E44" s="7" t="s">
        <v>339</v>
      </c>
      <c r="F44" s="7" t="s">
        <v>154</v>
      </c>
      <c r="G44" s="27">
        <v>45541.0</v>
      </c>
      <c r="H44" s="28"/>
      <c r="J44" s="28"/>
    </row>
    <row r="45">
      <c r="A45" s="19">
        <v>45540.485410671296</v>
      </c>
      <c r="B45" s="7" t="s">
        <v>296</v>
      </c>
      <c r="C45" s="7" t="s">
        <v>133</v>
      </c>
      <c r="D45" s="7" t="s">
        <v>147</v>
      </c>
      <c r="E45" s="7" t="s">
        <v>340</v>
      </c>
      <c r="F45" s="7" t="s">
        <v>154</v>
      </c>
      <c r="G45" s="27">
        <v>45541.0</v>
      </c>
      <c r="H45" s="28"/>
      <c r="J45" s="28"/>
    </row>
    <row r="46">
      <c r="A46" s="19">
        <v>45540.48707365741</v>
      </c>
      <c r="B46" s="7" t="s">
        <v>296</v>
      </c>
      <c r="C46" s="7" t="s">
        <v>133</v>
      </c>
      <c r="D46" s="7" t="s">
        <v>147</v>
      </c>
      <c r="E46" s="7" t="s">
        <v>341</v>
      </c>
      <c r="F46" s="7" t="s">
        <v>154</v>
      </c>
      <c r="G46" s="27">
        <v>45542.0</v>
      </c>
      <c r="H46" s="28"/>
      <c r="J46" s="28"/>
    </row>
    <row r="47">
      <c r="A47" s="19">
        <v>45540.48820017361</v>
      </c>
      <c r="B47" s="7" t="s">
        <v>296</v>
      </c>
      <c r="C47" s="7" t="s">
        <v>133</v>
      </c>
      <c r="D47" s="7" t="s">
        <v>147</v>
      </c>
      <c r="E47" s="7" t="s">
        <v>342</v>
      </c>
      <c r="F47" s="7" t="s">
        <v>154</v>
      </c>
      <c r="G47" s="27">
        <v>45542.0</v>
      </c>
      <c r="H47" s="28"/>
      <c r="J47" s="28"/>
    </row>
    <row r="48">
      <c r="A48" s="19">
        <v>45540.48957925926</v>
      </c>
      <c r="B48" s="7" t="s">
        <v>296</v>
      </c>
      <c r="C48" s="7" t="s">
        <v>133</v>
      </c>
      <c r="D48" s="7" t="s">
        <v>147</v>
      </c>
      <c r="E48" s="7" t="s">
        <v>343</v>
      </c>
      <c r="F48" s="7" t="s">
        <v>154</v>
      </c>
      <c r="G48" s="27">
        <v>45542.0</v>
      </c>
      <c r="H48" s="28"/>
      <c r="J48" s="28"/>
    </row>
    <row r="49">
      <c r="A49" s="19">
        <v>45544.55325648148</v>
      </c>
      <c r="B49" s="7" t="s">
        <v>248</v>
      </c>
      <c r="C49" s="7" t="s">
        <v>156</v>
      </c>
      <c r="D49" s="7" t="s">
        <v>147</v>
      </c>
      <c r="E49" s="7" t="s">
        <v>344</v>
      </c>
      <c r="F49" s="40" t="s">
        <v>345</v>
      </c>
      <c r="G49" s="27">
        <v>45548.0</v>
      </c>
      <c r="H49" s="28"/>
      <c r="J49" s="28"/>
    </row>
    <row r="50">
      <c r="A50" s="19">
        <v>45544.566578275466</v>
      </c>
      <c r="B50" s="7" t="s">
        <v>248</v>
      </c>
      <c r="C50" s="7" t="s">
        <v>156</v>
      </c>
      <c r="D50" s="7" t="s">
        <v>147</v>
      </c>
      <c r="E50" s="7" t="s">
        <v>346</v>
      </c>
      <c r="F50" s="40" t="s">
        <v>347</v>
      </c>
      <c r="G50" s="27">
        <v>45549.0</v>
      </c>
      <c r="H50" s="28"/>
      <c r="J50" s="28"/>
    </row>
    <row r="51">
      <c r="A51" s="19">
        <v>45544.56756063657</v>
      </c>
      <c r="B51" s="7" t="s">
        <v>248</v>
      </c>
      <c r="C51" s="7" t="s">
        <v>156</v>
      </c>
      <c r="D51" s="7" t="s">
        <v>147</v>
      </c>
      <c r="E51" s="7" t="s">
        <v>348</v>
      </c>
      <c r="F51" s="40" t="s">
        <v>349</v>
      </c>
      <c r="G51" s="27">
        <v>45549.0</v>
      </c>
      <c r="H51" s="28"/>
      <c r="J51" s="28"/>
    </row>
    <row r="52">
      <c r="A52" s="19">
        <v>45545.09014583333</v>
      </c>
      <c r="B52" s="7" t="s">
        <v>350</v>
      </c>
      <c r="C52" s="7" t="s">
        <v>156</v>
      </c>
      <c r="D52" s="7" t="s">
        <v>147</v>
      </c>
      <c r="E52" s="7" t="s">
        <v>351</v>
      </c>
      <c r="F52" s="40" t="s">
        <v>352</v>
      </c>
      <c r="G52" s="27">
        <v>45549.0</v>
      </c>
      <c r="H52" s="28"/>
      <c r="J52" s="28"/>
    </row>
    <row r="53">
      <c r="A53" s="19">
        <v>45546.64352586806</v>
      </c>
      <c r="B53" s="7" t="s">
        <v>296</v>
      </c>
      <c r="C53" s="7" t="s">
        <v>133</v>
      </c>
      <c r="D53" s="7" t="s">
        <v>147</v>
      </c>
      <c r="E53" s="7" t="s">
        <v>353</v>
      </c>
      <c r="F53" s="7" t="s">
        <v>154</v>
      </c>
      <c r="G53" s="27">
        <v>45548.0</v>
      </c>
      <c r="H53" s="28"/>
      <c r="J53" s="28"/>
    </row>
    <row r="54">
      <c r="A54" s="19">
        <v>45546.65335576389</v>
      </c>
      <c r="B54" s="7" t="s">
        <v>296</v>
      </c>
      <c r="C54" s="7" t="s">
        <v>133</v>
      </c>
      <c r="D54" s="7" t="s">
        <v>147</v>
      </c>
      <c r="E54" s="7" t="s">
        <v>354</v>
      </c>
      <c r="F54" s="7" t="s">
        <v>154</v>
      </c>
      <c r="G54" s="27">
        <v>45549.0</v>
      </c>
      <c r="H54" s="28"/>
      <c r="J54" s="28"/>
    </row>
    <row r="55">
      <c r="A55" s="19">
        <v>45546.65988670139</v>
      </c>
      <c r="B55" s="7" t="s">
        <v>296</v>
      </c>
      <c r="C55" s="7" t="s">
        <v>133</v>
      </c>
      <c r="D55" s="7" t="s">
        <v>147</v>
      </c>
      <c r="E55" s="7" t="s">
        <v>355</v>
      </c>
      <c r="F55" s="7" t="s">
        <v>154</v>
      </c>
      <c r="G55" s="27">
        <v>45548.0</v>
      </c>
      <c r="H55" s="28"/>
      <c r="J55" s="28"/>
    </row>
    <row r="56">
      <c r="A56" s="19">
        <v>45546.66330048611</v>
      </c>
      <c r="B56" s="7" t="s">
        <v>296</v>
      </c>
      <c r="C56" s="7" t="s">
        <v>133</v>
      </c>
      <c r="D56" s="7" t="s">
        <v>147</v>
      </c>
      <c r="E56" s="7" t="s">
        <v>356</v>
      </c>
      <c r="F56" s="7" t="s">
        <v>154</v>
      </c>
      <c r="G56" s="27">
        <v>45549.0</v>
      </c>
      <c r="H56" s="28"/>
      <c r="J56" s="28"/>
    </row>
    <row r="57">
      <c r="A57" s="19">
        <v>45546.67222975694</v>
      </c>
      <c r="B57" s="7" t="s">
        <v>296</v>
      </c>
      <c r="C57" s="7" t="s">
        <v>133</v>
      </c>
      <c r="D57" s="7" t="s">
        <v>147</v>
      </c>
      <c r="E57" s="7" t="s">
        <v>357</v>
      </c>
      <c r="F57" s="7" t="s">
        <v>154</v>
      </c>
      <c r="G57" s="27">
        <v>45548.0</v>
      </c>
      <c r="H57" s="28"/>
      <c r="J57" s="28"/>
    </row>
    <row r="58">
      <c r="A58" s="19">
        <v>45547.07828307871</v>
      </c>
      <c r="B58" s="7" t="s">
        <v>248</v>
      </c>
      <c r="C58" s="7" t="s">
        <v>156</v>
      </c>
      <c r="D58" s="7" t="s">
        <v>160</v>
      </c>
      <c r="E58" s="7" t="s">
        <v>358</v>
      </c>
      <c r="F58" s="7" t="s">
        <v>154</v>
      </c>
      <c r="G58" s="27">
        <v>45550.0</v>
      </c>
      <c r="H58" s="28"/>
      <c r="J58" s="28"/>
    </row>
    <row r="59">
      <c r="A59" s="19">
        <v>45551.74037349537</v>
      </c>
      <c r="B59" s="7" t="s">
        <v>296</v>
      </c>
      <c r="C59" s="7" t="s">
        <v>133</v>
      </c>
      <c r="D59" s="7" t="s">
        <v>160</v>
      </c>
      <c r="E59" s="7" t="s">
        <v>359</v>
      </c>
      <c r="F59" s="7" t="s">
        <v>154</v>
      </c>
      <c r="G59" s="27">
        <v>45552.0</v>
      </c>
      <c r="H59" s="28"/>
      <c r="J59" s="28"/>
    </row>
    <row r="60">
      <c r="A60" s="19">
        <v>45551.748313495365</v>
      </c>
      <c r="B60" s="7" t="s">
        <v>296</v>
      </c>
      <c r="C60" s="7" t="s">
        <v>133</v>
      </c>
      <c r="D60" s="7" t="s">
        <v>147</v>
      </c>
      <c r="E60" s="7" t="s">
        <v>360</v>
      </c>
      <c r="F60" s="7" t="s">
        <v>154</v>
      </c>
      <c r="G60" s="27">
        <v>45552.0</v>
      </c>
      <c r="H60" s="28"/>
      <c r="J60" s="28"/>
    </row>
    <row r="61">
      <c r="A61" s="19">
        <v>45551.74898974537</v>
      </c>
      <c r="B61" s="7" t="s">
        <v>296</v>
      </c>
      <c r="C61" s="7" t="s">
        <v>133</v>
      </c>
      <c r="D61" s="7" t="s">
        <v>147</v>
      </c>
      <c r="E61" s="7" t="s">
        <v>361</v>
      </c>
      <c r="F61" s="7" t="s">
        <v>154</v>
      </c>
      <c r="G61" s="27">
        <v>45551.0</v>
      </c>
      <c r="H61" s="28"/>
      <c r="J61" s="28"/>
    </row>
    <row r="62">
      <c r="A62" s="19">
        <v>45551.7504402662</v>
      </c>
      <c r="B62" s="7" t="s">
        <v>296</v>
      </c>
      <c r="C62" s="7" t="s">
        <v>133</v>
      </c>
      <c r="D62" s="7" t="s">
        <v>147</v>
      </c>
      <c r="E62" s="7" t="s">
        <v>362</v>
      </c>
      <c r="F62" s="7" t="s">
        <v>154</v>
      </c>
      <c r="G62" s="27">
        <v>45551.0</v>
      </c>
      <c r="H62" s="28"/>
      <c r="J62" s="28"/>
    </row>
    <row r="63">
      <c r="A63" s="19">
        <v>45552.57948023148</v>
      </c>
      <c r="B63" s="7" t="s">
        <v>248</v>
      </c>
      <c r="C63" s="7" t="s">
        <v>156</v>
      </c>
      <c r="D63" s="7" t="s">
        <v>160</v>
      </c>
      <c r="E63" s="7" t="s">
        <v>363</v>
      </c>
      <c r="F63" s="40" t="s">
        <v>364</v>
      </c>
      <c r="G63" s="27">
        <v>45552.0</v>
      </c>
      <c r="H63" s="28"/>
      <c r="J63" s="28"/>
    </row>
    <row r="64">
      <c r="A64" s="19">
        <v>45553.53390761574</v>
      </c>
      <c r="B64" s="7" t="s">
        <v>248</v>
      </c>
      <c r="C64" s="7" t="s">
        <v>156</v>
      </c>
      <c r="D64" s="7" t="s">
        <v>160</v>
      </c>
      <c r="E64" s="7" t="s">
        <v>365</v>
      </c>
      <c r="F64" s="40" t="s">
        <v>364</v>
      </c>
      <c r="G64" s="27">
        <v>45553.0</v>
      </c>
      <c r="H64" s="28"/>
      <c r="J64" s="28"/>
    </row>
    <row r="65">
      <c r="A65" s="19">
        <v>45553.5364905787</v>
      </c>
      <c r="B65" s="7" t="s">
        <v>248</v>
      </c>
      <c r="C65" s="7" t="s">
        <v>156</v>
      </c>
      <c r="D65" s="7" t="s">
        <v>160</v>
      </c>
      <c r="E65" s="7" t="s">
        <v>366</v>
      </c>
      <c r="F65" s="40" t="s">
        <v>367</v>
      </c>
      <c r="G65" s="27">
        <v>45553.0</v>
      </c>
      <c r="H65" s="28"/>
      <c r="J65" s="28"/>
    </row>
    <row r="66">
      <c r="A66" s="19">
        <v>45555.70046760417</v>
      </c>
      <c r="B66" s="7" t="s">
        <v>296</v>
      </c>
      <c r="C66" s="7" t="s">
        <v>133</v>
      </c>
      <c r="D66" s="7" t="s">
        <v>147</v>
      </c>
      <c r="E66" s="7" t="s">
        <v>368</v>
      </c>
      <c r="F66" s="7" t="s">
        <v>154</v>
      </c>
      <c r="G66" s="27">
        <v>45556.0</v>
      </c>
      <c r="H66" s="28"/>
      <c r="J66" s="28"/>
    </row>
    <row r="67">
      <c r="A67" s="19">
        <v>45555.72335648148</v>
      </c>
      <c r="B67" s="7" t="s">
        <v>296</v>
      </c>
      <c r="C67" s="7" t="s">
        <v>133</v>
      </c>
      <c r="D67" s="7" t="s">
        <v>147</v>
      </c>
      <c r="E67" s="7" t="s">
        <v>369</v>
      </c>
      <c r="F67" s="7" t="s">
        <v>154</v>
      </c>
      <c r="G67" s="27">
        <v>45556.0</v>
      </c>
      <c r="H67" s="28"/>
      <c r="J67" s="28"/>
    </row>
    <row r="68">
      <c r="A68" s="19">
        <v>45555.72618322917</v>
      </c>
      <c r="B68" s="7" t="s">
        <v>296</v>
      </c>
      <c r="C68" s="7" t="s">
        <v>133</v>
      </c>
      <c r="D68" s="7" t="s">
        <v>147</v>
      </c>
      <c r="E68" s="7" t="s">
        <v>370</v>
      </c>
      <c r="F68" s="7" t="s">
        <v>154</v>
      </c>
      <c r="G68" s="27">
        <v>45556.0</v>
      </c>
      <c r="H68" s="28"/>
      <c r="J68" s="28"/>
    </row>
    <row r="69">
      <c r="A69" s="19">
        <v>45555.72830347222</v>
      </c>
      <c r="B69" s="7" t="s">
        <v>296</v>
      </c>
      <c r="C69" s="7" t="s">
        <v>133</v>
      </c>
      <c r="D69" s="7" t="s">
        <v>147</v>
      </c>
      <c r="E69" s="7" t="s">
        <v>371</v>
      </c>
      <c r="F69" s="7" t="s">
        <v>154</v>
      </c>
      <c r="G69" s="27">
        <v>45556.0</v>
      </c>
      <c r="H69" s="28"/>
      <c r="J69" s="28"/>
    </row>
    <row r="70">
      <c r="A70" s="19">
        <v>45555.73019282408</v>
      </c>
      <c r="B70" s="7" t="s">
        <v>296</v>
      </c>
      <c r="C70" s="7" t="s">
        <v>133</v>
      </c>
      <c r="D70" s="7" t="s">
        <v>147</v>
      </c>
      <c r="E70" s="7" t="s">
        <v>372</v>
      </c>
      <c r="F70" s="7" t="s">
        <v>154</v>
      </c>
      <c r="G70" s="27">
        <v>45556.0</v>
      </c>
      <c r="H70" s="28"/>
      <c r="J70" s="28"/>
    </row>
    <row r="71">
      <c r="A71" s="19">
        <v>45555.736855243056</v>
      </c>
      <c r="B71" s="7" t="s">
        <v>296</v>
      </c>
      <c r="C71" s="7" t="s">
        <v>133</v>
      </c>
      <c r="D71" s="7" t="s">
        <v>147</v>
      </c>
      <c r="E71" s="7" t="s">
        <v>373</v>
      </c>
      <c r="F71" s="7" t="s">
        <v>154</v>
      </c>
      <c r="G71" s="27">
        <v>45556.0</v>
      </c>
      <c r="H71" s="28"/>
      <c r="J71" s="28"/>
    </row>
    <row r="72">
      <c r="A72" s="19">
        <v>45555.7389430787</v>
      </c>
      <c r="B72" s="7" t="s">
        <v>296</v>
      </c>
      <c r="C72" s="7" t="s">
        <v>133</v>
      </c>
      <c r="D72" s="7" t="s">
        <v>147</v>
      </c>
      <c r="E72" s="7" t="s">
        <v>374</v>
      </c>
      <c r="F72" s="7" t="s">
        <v>154</v>
      </c>
      <c r="G72" s="27">
        <v>45556.0</v>
      </c>
      <c r="H72" s="28"/>
      <c r="J72" s="28"/>
    </row>
    <row r="73">
      <c r="A73" s="19">
        <v>45555.7404294213</v>
      </c>
      <c r="B73" s="7" t="s">
        <v>296</v>
      </c>
      <c r="C73" s="7" t="s">
        <v>133</v>
      </c>
      <c r="D73" s="7" t="s">
        <v>147</v>
      </c>
      <c r="E73" s="7" t="s">
        <v>375</v>
      </c>
      <c r="F73" s="7" t="s">
        <v>154</v>
      </c>
      <c r="G73" s="27">
        <v>45556.0</v>
      </c>
      <c r="H73" s="28"/>
      <c r="J73" s="28"/>
    </row>
    <row r="74">
      <c r="A74" s="19">
        <v>45555.74187196759</v>
      </c>
      <c r="B74" s="7" t="s">
        <v>296</v>
      </c>
      <c r="C74" s="7" t="s">
        <v>133</v>
      </c>
      <c r="D74" s="7" t="s">
        <v>147</v>
      </c>
      <c r="E74" s="7" t="s">
        <v>376</v>
      </c>
      <c r="F74" s="7" t="s">
        <v>154</v>
      </c>
      <c r="G74" s="27">
        <v>45556.0</v>
      </c>
      <c r="H74" s="28"/>
      <c r="J74" s="28"/>
    </row>
    <row r="75">
      <c r="A75" s="19">
        <v>45555.766178680555</v>
      </c>
      <c r="B75" s="7" t="s">
        <v>296</v>
      </c>
      <c r="C75" s="7" t="s">
        <v>133</v>
      </c>
      <c r="D75" s="7" t="s">
        <v>147</v>
      </c>
      <c r="E75" s="7" t="s">
        <v>377</v>
      </c>
      <c r="F75" s="7" t="s">
        <v>154</v>
      </c>
      <c r="G75" s="27">
        <v>45556.0</v>
      </c>
      <c r="H75" s="28"/>
      <c r="J75" s="28"/>
    </row>
    <row r="76">
      <c r="A76" s="19">
        <v>45555.779066041665</v>
      </c>
      <c r="B76" s="7" t="s">
        <v>296</v>
      </c>
      <c r="C76" s="7" t="s">
        <v>133</v>
      </c>
      <c r="D76" s="7" t="s">
        <v>147</v>
      </c>
      <c r="E76" s="7" t="s">
        <v>378</v>
      </c>
      <c r="F76" s="7" t="s">
        <v>154</v>
      </c>
      <c r="G76" s="27">
        <v>45556.0</v>
      </c>
      <c r="H76" s="28"/>
      <c r="J76" s="28"/>
    </row>
    <row r="77">
      <c r="A77" s="19">
        <v>45559.47091157407</v>
      </c>
      <c r="B77" s="7" t="s">
        <v>248</v>
      </c>
      <c r="C77" s="7" t="s">
        <v>156</v>
      </c>
      <c r="D77" s="7" t="s">
        <v>147</v>
      </c>
      <c r="E77" s="7" t="s">
        <v>379</v>
      </c>
      <c r="F77" s="40" t="s">
        <v>380</v>
      </c>
      <c r="G77" s="27">
        <v>45559.0</v>
      </c>
      <c r="H77" s="28"/>
      <c r="J77" s="28"/>
    </row>
    <row r="78">
      <c r="A78" s="19">
        <v>45559.472308136574</v>
      </c>
      <c r="B78" s="7" t="s">
        <v>248</v>
      </c>
      <c r="C78" s="7" t="s">
        <v>156</v>
      </c>
      <c r="D78" s="7" t="s">
        <v>160</v>
      </c>
      <c r="E78" s="7" t="s">
        <v>381</v>
      </c>
      <c r="F78" s="40" t="s">
        <v>380</v>
      </c>
      <c r="G78" s="27">
        <v>45559.0</v>
      </c>
      <c r="H78" s="28"/>
      <c r="J78" s="28"/>
    </row>
    <row r="79">
      <c r="A79" s="19">
        <v>45559.47389809028</v>
      </c>
      <c r="B79" s="7" t="s">
        <v>248</v>
      </c>
      <c r="C79" s="7" t="s">
        <v>156</v>
      </c>
      <c r="D79" s="7" t="s">
        <v>160</v>
      </c>
      <c r="E79" s="7" t="s">
        <v>382</v>
      </c>
      <c r="F79" s="40" t="s">
        <v>380</v>
      </c>
      <c r="G79" s="27">
        <v>45560.0</v>
      </c>
      <c r="H79" s="28"/>
      <c r="J79" s="28"/>
    </row>
    <row r="80">
      <c r="A80" s="19">
        <v>45560.75466019676</v>
      </c>
      <c r="B80" s="7" t="s">
        <v>248</v>
      </c>
      <c r="C80" s="7" t="s">
        <v>156</v>
      </c>
      <c r="D80" s="7" t="s">
        <v>147</v>
      </c>
      <c r="E80" s="7" t="s">
        <v>383</v>
      </c>
      <c r="F80" s="40" t="s">
        <v>384</v>
      </c>
      <c r="G80" s="27">
        <v>45560.0</v>
      </c>
      <c r="H80" s="28"/>
      <c r="J80" s="28"/>
    </row>
    <row r="81">
      <c r="A81" s="19">
        <v>45560.76097928241</v>
      </c>
      <c r="B81" s="7" t="s">
        <v>385</v>
      </c>
      <c r="C81" s="7" t="s">
        <v>175</v>
      </c>
      <c r="D81" s="7" t="s">
        <v>147</v>
      </c>
      <c r="E81" s="64" t="s">
        <v>386</v>
      </c>
      <c r="F81" s="7" t="s">
        <v>387</v>
      </c>
      <c r="G81" s="27">
        <v>45561.0</v>
      </c>
      <c r="H81" s="28"/>
      <c r="J81" s="28"/>
    </row>
    <row r="82">
      <c r="A82" s="19">
        <v>45562.738184409725</v>
      </c>
      <c r="B82" s="7" t="s">
        <v>248</v>
      </c>
      <c r="C82" s="7" t="s">
        <v>156</v>
      </c>
      <c r="D82" s="7" t="s">
        <v>147</v>
      </c>
      <c r="E82" s="7" t="s">
        <v>389</v>
      </c>
      <c r="F82" s="40" t="s">
        <v>390</v>
      </c>
      <c r="G82" s="27">
        <v>45563.0</v>
      </c>
      <c r="H82" s="28"/>
      <c r="J82" s="28"/>
    </row>
    <row r="83">
      <c r="A83" s="19">
        <v>45562.74114182871</v>
      </c>
      <c r="B83" s="7" t="s">
        <v>248</v>
      </c>
      <c r="C83" s="7" t="s">
        <v>156</v>
      </c>
      <c r="D83" s="7" t="s">
        <v>147</v>
      </c>
      <c r="E83" s="7" t="s">
        <v>393</v>
      </c>
      <c r="F83" s="40" t="s">
        <v>394</v>
      </c>
      <c r="G83" s="27">
        <v>45563.0</v>
      </c>
      <c r="H83" s="28"/>
      <c r="J83" s="28"/>
    </row>
    <row r="84">
      <c r="A84" s="19">
        <v>45562.75711226852</v>
      </c>
      <c r="B84" s="7" t="s">
        <v>296</v>
      </c>
      <c r="C84" s="7" t="s">
        <v>133</v>
      </c>
      <c r="D84" s="7" t="s">
        <v>147</v>
      </c>
      <c r="E84" s="7" t="s">
        <v>395</v>
      </c>
      <c r="F84" s="7" t="s">
        <v>154</v>
      </c>
      <c r="G84" s="27">
        <v>45563.0</v>
      </c>
      <c r="H84" s="28"/>
      <c r="J84" s="28"/>
    </row>
    <row r="85">
      <c r="A85" s="19">
        <v>45562.76018212963</v>
      </c>
      <c r="B85" s="7" t="s">
        <v>296</v>
      </c>
      <c r="C85" s="7" t="s">
        <v>133</v>
      </c>
      <c r="D85" s="7" t="s">
        <v>147</v>
      </c>
      <c r="E85" s="7" t="s">
        <v>396</v>
      </c>
      <c r="F85" s="7" t="s">
        <v>154</v>
      </c>
      <c r="G85" s="27">
        <v>45562.0</v>
      </c>
      <c r="H85" s="28"/>
      <c r="J85" s="28"/>
    </row>
    <row r="86">
      <c r="A86" s="19">
        <v>45562.76183962963</v>
      </c>
      <c r="B86" s="7" t="s">
        <v>296</v>
      </c>
      <c r="C86" s="7" t="s">
        <v>133</v>
      </c>
      <c r="D86" s="7" t="s">
        <v>147</v>
      </c>
      <c r="E86" s="7" t="s">
        <v>397</v>
      </c>
      <c r="F86" s="7" t="s">
        <v>154</v>
      </c>
      <c r="G86" s="27">
        <v>45563.0</v>
      </c>
      <c r="H86" s="28"/>
      <c r="J86" s="28"/>
    </row>
    <row r="87">
      <c r="A87" s="19">
        <v>45562.76353337963</v>
      </c>
      <c r="B87" s="7" t="s">
        <v>296</v>
      </c>
      <c r="C87" s="7" t="s">
        <v>133</v>
      </c>
      <c r="D87" s="7" t="s">
        <v>147</v>
      </c>
      <c r="E87" s="7" t="s">
        <v>398</v>
      </c>
      <c r="F87" s="7" t="s">
        <v>154</v>
      </c>
      <c r="G87" s="27">
        <v>45563.0</v>
      </c>
      <c r="H87" s="28"/>
      <c r="J87" s="28"/>
    </row>
    <row r="88">
      <c r="A88" s="19">
        <v>45562.76496559028</v>
      </c>
      <c r="B88" s="7" t="s">
        <v>400</v>
      </c>
      <c r="C88" s="7" t="s">
        <v>133</v>
      </c>
      <c r="D88" s="7" t="s">
        <v>147</v>
      </c>
      <c r="E88" s="7" t="s">
        <v>401</v>
      </c>
      <c r="F88" s="7" t="s">
        <v>154</v>
      </c>
      <c r="G88" s="27">
        <v>45563.0</v>
      </c>
      <c r="H88" s="28"/>
      <c r="J88" s="28"/>
    </row>
    <row r="89">
      <c r="A89" s="19">
        <v>45565.67172625</v>
      </c>
      <c r="B89" s="7" t="s">
        <v>248</v>
      </c>
      <c r="C89" s="7" t="s">
        <v>156</v>
      </c>
      <c r="D89" s="7" t="s">
        <v>147</v>
      </c>
      <c r="E89" s="7" t="s">
        <v>402</v>
      </c>
      <c r="F89" s="40" t="s">
        <v>403</v>
      </c>
      <c r="G89" s="27">
        <v>45566.0</v>
      </c>
      <c r="H89" s="28"/>
      <c r="J89" s="28"/>
    </row>
    <row r="90">
      <c r="A90" s="19">
        <v>45565.67445585648</v>
      </c>
      <c r="B90" s="7" t="s">
        <v>248</v>
      </c>
      <c r="C90" s="7" t="s">
        <v>156</v>
      </c>
      <c r="D90" s="7" t="s">
        <v>147</v>
      </c>
      <c r="E90" s="7" t="s">
        <v>404</v>
      </c>
      <c r="F90" s="7" t="s">
        <v>154</v>
      </c>
      <c r="G90" s="27">
        <v>45566.0</v>
      </c>
      <c r="H90" s="28"/>
      <c r="J90" s="28"/>
    </row>
    <row r="91">
      <c r="A91" s="19">
        <v>45567.57595813657</v>
      </c>
      <c r="B91" s="7" t="s">
        <v>405</v>
      </c>
      <c r="C91" s="7" t="s">
        <v>175</v>
      </c>
      <c r="D91" s="7" t="s">
        <v>406</v>
      </c>
      <c r="E91" s="7" t="s">
        <v>407</v>
      </c>
      <c r="F91" s="7" t="s">
        <v>175</v>
      </c>
      <c r="G91" s="27">
        <v>45568.0</v>
      </c>
      <c r="H91" s="28"/>
      <c r="J91" s="28"/>
    </row>
    <row r="92">
      <c r="A92" s="19">
        <v>45568.48156123843</v>
      </c>
      <c r="B92" s="7" t="s">
        <v>408</v>
      </c>
      <c r="C92" s="7" t="s">
        <v>149</v>
      </c>
      <c r="D92" s="7" t="s">
        <v>147</v>
      </c>
      <c r="E92" s="7" t="s">
        <v>409</v>
      </c>
      <c r="F92" s="40" t="s">
        <v>410</v>
      </c>
      <c r="G92" s="27">
        <v>45569.0</v>
      </c>
      <c r="H92" s="28"/>
      <c r="J92" s="28"/>
    </row>
    <row r="93">
      <c r="A93" s="19">
        <v>45569.59175688657</v>
      </c>
      <c r="B93" s="7" t="s">
        <v>296</v>
      </c>
      <c r="C93" s="7" t="s">
        <v>133</v>
      </c>
      <c r="D93" s="7" t="s">
        <v>147</v>
      </c>
      <c r="E93" s="7" t="s">
        <v>412</v>
      </c>
      <c r="F93" s="7" t="s">
        <v>154</v>
      </c>
      <c r="G93" s="27">
        <v>45570.0</v>
      </c>
      <c r="H93" s="28"/>
      <c r="J93" s="28"/>
    </row>
    <row r="94">
      <c r="A94" s="19">
        <v>45569.59373659722</v>
      </c>
      <c r="B94" s="7" t="s">
        <v>296</v>
      </c>
      <c r="C94" s="7" t="s">
        <v>133</v>
      </c>
      <c r="D94" s="7" t="s">
        <v>147</v>
      </c>
      <c r="E94" s="7" t="s">
        <v>414</v>
      </c>
      <c r="F94" s="7" t="s">
        <v>154</v>
      </c>
      <c r="G94" s="27">
        <v>45570.0</v>
      </c>
      <c r="H94" s="28"/>
      <c r="J94" s="28"/>
    </row>
    <row r="95">
      <c r="A95" s="19">
        <v>45573.477000983796</v>
      </c>
      <c r="B95" s="7" t="s">
        <v>415</v>
      </c>
      <c r="C95" s="7" t="s">
        <v>149</v>
      </c>
      <c r="D95" s="7" t="s">
        <v>417</v>
      </c>
      <c r="E95" s="7" t="s">
        <v>418</v>
      </c>
      <c r="F95" s="40" t="s">
        <v>419</v>
      </c>
      <c r="G95" s="27">
        <v>45573.0</v>
      </c>
      <c r="H95" s="28"/>
      <c r="J95" s="28"/>
    </row>
    <row r="96">
      <c r="A96" s="19">
        <v>45573.62928026621</v>
      </c>
      <c r="B96" s="7" t="s">
        <v>248</v>
      </c>
      <c r="C96" s="7" t="s">
        <v>156</v>
      </c>
      <c r="D96" s="7" t="s">
        <v>147</v>
      </c>
      <c r="E96" s="7" t="s">
        <v>424</v>
      </c>
      <c r="F96" s="7" t="s">
        <v>154</v>
      </c>
      <c r="G96" s="27">
        <v>45576.0</v>
      </c>
      <c r="H96" s="28"/>
      <c r="J96" s="28"/>
    </row>
    <row r="97">
      <c r="A97" s="19">
        <v>45573.630229421295</v>
      </c>
      <c r="B97" s="7" t="s">
        <v>248</v>
      </c>
      <c r="C97" s="7" t="s">
        <v>156</v>
      </c>
      <c r="D97" s="7" t="s">
        <v>147</v>
      </c>
      <c r="E97" s="7" t="s">
        <v>425</v>
      </c>
      <c r="F97" s="7" t="s">
        <v>154</v>
      </c>
      <c r="G97" s="27">
        <v>45580.0</v>
      </c>
      <c r="H97" s="28"/>
      <c r="J97" s="28"/>
    </row>
    <row r="98">
      <c r="A98" s="19">
        <v>45582.62691633102</v>
      </c>
      <c r="B98" s="7" t="s">
        <v>426</v>
      </c>
      <c r="C98" s="7" t="s">
        <v>175</v>
      </c>
      <c r="D98" s="7" t="s">
        <v>427</v>
      </c>
      <c r="E98" s="7" t="s">
        <v>428</v>
      </c>
      <c r="F98" s="7" t="s">
        <v>429</v>
      </c>
      <c r="G98" s="27">
        <v>45583.0</v>
      </c>
      <c r="H98" s="28"/>
      <c r="J98" s="28"/>
    </row>
  </sheetData>
  <dataValidations>
    <dataValidation type="list" allowBlank="1" showErrorMessage="1" sqref="C2:C98">
      <formula1>"Ghana,Nigeria,Uganda"</formula1>
    </dataValidation>
    <dataValidation type="list" allowBlank="1" showErrorMessage="1" sqref="D2:D98">
      <formula1>"Social Media Post,Whatsapp Post"</formula1>
    </dataValidation>
    <dataValidation type="list" allowBlank="1" showErrorMessage="1" sqref="J2:J98">
      <formula1>"Yes,No"</formula1>
    </dataValidation>
    <dataValidation type="list" allowBlank="1" showErrorMessage="1" sqref="H2:H98">
      <formula1>"Completed ,Pending"</formula1>
    </dataValidation>
  </dataValidations>
  <hyperlinks>
    <hyperlink r:id="rId4" ref="I1"/>
    <hyperlink r:id="rId5" ref="F5"/>
    <hyperlink r:id="rId6" ref="F7"/>
    <hyperlink r:id="rId7" ref="F8"/>
    <hyperlink r:id="rId8" ref="E9"/>
    <hyperlink r:id="rId9" ref="F9"/>
    <hyperlink r:id="rId10" ref="F10"/>
    <hyperlink r:id="rId11" ref="F11"/>
    <hyperlink r:id="rId12" ref="F12"/>
    <hyperlink r:id="rId13" ref="F13"/>
    <hyperlink r:id="rId14" ref="F14"/>
    <hyperlink r:id="rId15" ref="F15"/>
    <hyperlink r:id="rId16" ref="F16"/>
    <hyperlink r:id="rId17" ref="F27"/>
    <hyperlink r:id="rId18" ref="F29"/>
    <hyperlink r:id="rId19" ref="F34"/>
    <hyperlink r:id="rId20" ref="F35"/>
    <hyperlink r:id="rId21" ref="F36"/>
    <hyperlink r:id="rId22" ref="F39"/>
    <hyperlink r:id="rId23" ref="F40"/>
    <hyperlink r:id="rId24" ref="F41"/>
    <hyperlink r:id="rId25" ref="F42"/>
    <hyperlink r:id="rId26" ref="F49"/>
    <hyperlink r:id="rId27" ref="F50"/>
    <hyperlink r:id="rId28" ref="F51"/>
    <hyperlink r:id="rId29" ref="F52"/>
    <hyperlink r:id="rId30" ref="F63"/>
    <hyperlink r:id="rId31" ref="F64"/>
    <hyperlink r:id="rId32" ref="F65"/>
    <hyperlink r:id="rId33" ref="F77"/>
    <hyperlink r:id="rId34" ref="F78"/>
    <hyperlink r:id="rId35" ref="F79"/>
    <hyperlink r:id="rId36" ref="F80"/>
    <hyperlink r:id="rId37" ref="F82"/>
    <hyperlink r:id="rId38" ref="F83"/>
    <hyperlink r:id="rId39" ref="F89"/>
    <hyperlink r:id="rId40" ref="F92"/>
    <hyperlink r:id="rId41" ref="F95"/>
  </hyperlinks>
  <drawing r:id="rId42"/>
  <legacy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1" width="195.38"/>
  </cols>
  <sheetData>
    <row r="1">
      <c r="A1" s="1" t="s">
        <v>0</v>
      </c>
    </row>
    <row r="2">
      <c r="A2" s="1" t="s">
        <v>4</v>
      </c>
    </row>
    <row r="3">
      <c r="A3" s="8" t="s">
        <v>5</v>
      </c>
    </row>
    <row r="4">
      <c r="A4" s="8" t="s">
        <v>28</v>
      </c>
    </row>
    <row r="5">
      <c r="A5" s="8" t="s">
        <v>29</v>
      </c>
    </row>
    <row r="6">
      <c r="A6" s="8" t="s">
        <v>30</v>
      </c>
    </row>
    <row r="7">
      <c r="A7" s="8" t="s">
        <v>31</v>
      </c>
    </row>
    <row r="8">
      <c r="A8" s="8" t="s">
        <v>32</v>
      </c>
    </row>
    <row r="9">
      <c r="A9" s="8"/>
    </row>
    <row r="10">
      <c r="A10" s="11" t="s">
        <v>33</v>
      </c>
    </row>
    <row r="11">
      <c r="A11" s="8" t="s">
        <v>35</v>
      </c>
    </row>
    <row r="12">
      <c r="A12" s="8" t="s">
        <v>36</v>
      </c>
    </row>
    <row r="13">
      <c r="A13" s="1"/>
    </row>
    <row r="14">
      <c r="A14" s="1" t="s">
        <v>37</v>
      </c>
    </row>
    <row r="15">
      <c r="A15" s="8" t="s">
        <v>39</v>
      </c>
    </row>
    <row r="16">
      <c r="A16" s="8" t="s">
        <v>40</v>
      </c>
    </row>
    <row r="17">
      <c r="A17" s="8" t="s">
        <v>41</v>
      </c>
    </row>
    <row r="18">
      <c r="A18" s="8" t="s">
        <v>42</v>
      </c>
    </row>
    <row r="19">
      <c r="A19" s="8" t="s">
        <v>43</v>
      </c>
    </row>
    <row r="20">
      <c r="A20" s="8" t="s">
        <v>32</v>
      </c>
    </row>
    <row r="21">
      <c r="A21" s="8"/>
    </row>
    <row r="22">
      <c r="A22" s="11" t="s">
        <v>44</v>
      </c>
    </row>
    <row r="23">
      <c r="A23" s="8" t="s">
        <v>45</v>
      </c>
    </row>
    <row r="24">
      <c r="A24" s="8" t="s">
        <v>46</v>
      </c>
    </row>
    <row r="25">
      <c r="A25" s="11"/>
    </row>
    <row r="26">
      <c r="A26" s="11" t="s">
        <v>47</v>
      </c>
    </row>
    <row r="27">
      <c r="A27" s="8" t="s">
        <v>48</v>
      </c>
    </row>
    <row r="28">
      <c r="A28" s="8" t="s">
        <v>50</v>
      </c>
    </row>
    <row r="29">
      <c r="A29" s="1" t="s">
        <v>51</v>
      </c>
    </row>
    <row r="30">
      <c r="A30" s="13"/>
    </row>
    <row r="31">
      <c r="A31" s="14" t="s">
        <v>53</v>
      </c>
    </row>
    <row r="32">
      <c r="A32" s="11" t="s">
        <v>54</v>
      </c>
    </row>
    <row r="33">
      <c r="A33" s="8" t="s">
        <v>55</v>
      </c>
    </row>
    <row r="34">
      <c r="A34" s="15" t="s">
        <v>57</v>
      </c>
    </row>
    <row r="35">
      <c r="A35" s="8" t="s">
        <v>58</v>
      </c>
    </row>
    <row r="36">
      <c r="A36" s="8" t="s">
        <v>59</v>
      </c>
    </row>
    <row r="37">
      <c r="A37" s="8" t="s">
        <v>60</v>
      </c>
    </row>
    <row r="38">
      <c r="A38" s="8" t="s">
        <v>61</v>
      </c>
    </row>
    <row r="39">
      <c r="A39" s="16"/>
    </row>
    <row r="40">
      <c r="A40" s="11" t="s">
        <v>62</v>
      </c>
    </row>
    <row r="41">
      <c r="A41" s="8" t="s">
        <v>63</v>
      </c>
    </row>
    <row r="42">
      <c r="A42" s="15" t="s">
        <v>57</v>
      </c>
    </row>
    <row r="43">
      <c r="A43" s="8" t="s">
        <v>64</v>
      </c>
    </row>
    <row r="44">
      <c r="A44" s="8" t="s">
        <v>65</v>
      </c>
    </row>
    <row r="45">
      <c r="A45" s="8" t="s">
        <v>68</v>
      </c>
    </row>
    <row r="46">
      <c r="A46" s="8" t="s">
        <v>69</v>
      </c>
    </row>
    <row r="47">
      <c r="A47" s="16"/>
    </row>
    <row r="48">
      <c r="A48" s="11" t="s">
        <v>70</v>
      </c>
    </row>
    <row r="49">
      <c r="A49" s="8" t="s">
        <v>71</v>
      </c>
    </row>
    <row r="50">
      <c r="A50" s="8" t="s">
        <v>57</v>
      </c>
    </row>
    <row r="51">
      <c r="A51" s="8" t="s">
        <v>72</v>
      </c>
    </row>
    <row r="52">
      <c r="A52" s="8" t="s">
        <v>73</v>
      </c>
    </row>
    <row r="53">
      <c r="A53" s="8" t="s">
        <v>74</v>
      </c>
    </row>
    <row r="54">
      <c r="A54" s="8" t="s">
        <v>75</v>
      </c>
    </row>
    <row r="55">
      <c r="A55" s="8" t="s">
        <v>76</v>
      </c>
    </row>
    <row r="56">
      <c r="A56" s="8" t="s">
        <v>77</v>
      </c>
    </row>
    <row r="57">
      <c r="A57" s="8" t="s">
        <v>78</v>
      </c>
    </row>
    <row r="58">
      <c r="A58" s="8" t="s">
        <v>79</v>
      </c>
    </row>
    <row r="59">
      <c r="A59" s="11"/>
    </row>
    <row r="60">
      <c r="A60" s="11" t="s">
        <v>80</v>
      </c>
    </row>
    <row r="61">
      <c r="A61" s="8" t="s">
        <v>81</v>
      </c>
    </row>
    <row r="62">
      <c r="A62" s="8" t="s">
        <v>82</v>
      </c>
    </row>
    <row r="63">
      <c r="A63" s="8" t="s">
        <v>84</v>
      </c>
    </row>
    <row r="64">
      <c r="A64" s="16"/>
    </row>
    <row r="65">
      <c r="A65" s="1" t="s">
        <v>87</v>
      </c>
    </row>
    <row r="66">
      <c r="A66" s="8" t="s">
        <v>88</v>
      </c>
    </row>
    <row r="67">
      <c r="A67" s="8" t="s">
        <v>89</v>
      </c>
    </row>
    <row r="68">
      <c r="A68" s="8" t="s">
        <v>90</v>
      </c>
    </row>
    <row r="69">
      <c r="A69" s="8" t="s">
        <v>92</v>
      </c>
    </row>
    <row r="70">
      <c r="A70" s="16"/>
    </row>
    <row r="71">
      <c r="A71" s="14" t="s">
        <v>94</v>
      </c>
    </row>
    <row r="72">
      <c r="A72" s="1" t="s">
        <v>95</v>
      </c>
    </row>
    <row r="73">
      <c r="A73" s="11" t="s">
        <v>97</v>
      </c>
    </row>
    <row r="74">
      <c r="A74" s="8" t="s">
        <v>98</v>
      </c>
    </row>
    <row r="75">
      <c r="A75" s="8" t="s">
        <v>99</v>
      </c>
    </row>
    <row r="76">
      <c r="A76" s="11" t="s">
        <v>100</v>
      </c>
    </row>
    <row r="77">
      <c r="A77" s="8" t="s">
        <v>101</v>
      </c>
    </row>
    <row r="78">
      <c r="A78" s="8" t="s">
        <v>102</v>
      </c>
    </row>
    <row r="79">
      <c r="A79" s="8" t="s">
        <v>103</v>
      </c>
    </row>
    <row r="80">
      <c r="A80" s="11" t="s">
        <v>104</v>
      </c>
    </row>
    <row r="81">
      <c r="A81" s="8" t="s">
        <v>105</v>
      </c>
    </row>
    <row r="82">
      <c r="A82" s="8" t="s">
        <v>106</v>
      </c>
    </row>
    <row r="83">
      <c r="A83" s="16"/>
    </row>
    <row r="84">
      <c r="A84" s="1" t="s">
        <v>108</v>
      </c>
    </row>
    <row r="85">
      <c r="A85" s="11" t="s">
        <v>97</v>
      </c>
    </row>
    <row r="86">
      <c r="A86" s="8" t="s">
        <v>98</v>
      </c>
    </row>
    <row r="87">
      <c r="A87" s="8" t="s">
        <v>99</v>
      </c>
    </row>
    <row r="88">
      <c r="A88" s="11" t="s">
        <v>100</v>
      </c>
    </row>
    <row r="89">
      <c r="A89" s="8" t="s">
        <v>101</v>
      </c>
    </row>
    <row r="90">
      <c r="A90" s="8" t="s">
        <v>102</v>
      </c>
    </row>
    <row r="91">
      <c r="A91" s="8" t="s">
        <v>103</v>
      </c>
    </row>
    <row r="92">
      <c r="A92" s="11" t="s">
        <v>104</v>
      </c>
    </row>
    <row r="93">
      <c r="A93" s="8" t="s">
        <v>105</v>
      </c>
    </row>
    <row r="94">
      <c r="A94" s="8" t="s">
        <v>106</v>
      </c>
    </row>
    <row r="95">
      <c r="A95" s="16"/>
    </row>
    <row r="96">
      <c r="A96" s="1" t="s">
        <v>110</v>
      </c>
    </row>
    <row r="97">
      <c r="A97" s="11" t="s">
        <v>97</v>
      </c>
    </row>
    <row r="98">
      <c r="A98" s="8" t="s">
        <v>98</v>
      </c>
    </row>
    <row r="99">
      <c r="A99" s="8" t="s">
        <v>99</v>
      </c>
    </row>
    <row r="100">
      <c r="A100" s="11" t="s">
        <v>100</v>
      </c>
    </row>
    <row r="101">
      <c r="A101" s="8" t="s">
        <v>101</v>
      </c>
    </row>
    <row r="102">
      <c r="A102" s="8" t="s">
        <v>102</v>
      </c>
    </row>
    <row r="103">
      <c r="A103" s="8" t="s">
        <v>103</v>
      </c>
    </row>
    <row r="104">
      <c r="A104" s="11" t="s">
        <v>104</v>
      </c>
    </row>
    <row r="105">
      <c r="A105" s="8" t="s">
        <v>105</v>
      </c>
    </row>
    <row r="106">
      <c r="A106" s="8" t="s">
        <v>106</v>
      </c>
    </row>
    <row r="107">
      <c r="A107" s="16"/>
    </row>
    <row r="108">
      <c r="A108" s="1" t="s">
        <v>112</v>
      </c>
    </row>
    <row r="109">
      <c r="A109" s="8" t="s">
        <v>113</v>
      </c>
    </row>
    <row r="110">
      <c r="A110" s="16"/>
    </row>
    <row r="111">
      <c r="A111" s="14" t="s">
        <v>114</v>
      </c>
    </row>
    <row r="112">
      <c r="A112" s="1" t="s">
        <v>115</v>
      </c>
    </row>
    <row r="113">
      <c r="A113" s="8" t="s">
        <v>116</v>
      </c>
    </row>
    <row r="114">
      <c r="A114" s="8" t="s">
        <v>117</v>
      </c>
    </row>
    <row r="115">
      <c r="A115" s="16"/>
    </row>
    <row r="116">
      <c r="A116" s="1" t="s">
        <v>118</v>
      </c>
    </row>
    <row r="117">
      <c r="A117" s="8" t="s">
        <v>119</v>
      </c>
    </row>
    <row r="118">
      <c r="A118" s="8" t="s">
        <v>120</v>
      </c>
    </row>
    <row r="119">
      <c r="A119" s="1" t="s">
        <v>121</v>
      </c>
    </row>
    <row r="120">
      <c r="A120" s="1" t="s">
        <v>4</v>
      </c>
    </row>
    <row r="121">
      <c r="A121" s="8" t="s">
        <v>123</v>
      </c>
    </row>
    <row r="122">
      <c r="A122" s="8" t="s">
        <v>125</v>
      </c>
    </row>
    <row r="123">
      <c r="A123" s="8" t="s">
        <v>126</v>
      </c>
    </row>
    <row r="124">
      <c r="A124" s="16"/>
    </row>
    <row r="125">
      <c r="A125" s="1" t="s">
        <v>37</v>
      </c>
    </row>
    <row r="126">
      <c r="A126" s="8" t="s">
        <v>128</v>
      </c>
    </row>
    <row r="127">
      <c r="A127" s="8" t="s">
        <v>129</v>
      </c>
    </row>
    <row r="128">
      <c r="A128" s="8" t="s">
        <v>131</v>
      </c>
    </row>
    <row r="129">
      <c r="A129" s="16"/>
    </row>
    <row r="130">
      <c r="A130" s="1" t="s">
        <v>134</v>
      </c>
    </row>
    <row r="131">
      <c r="A131" s="8" t="s">
        <v>135</v>
      </c>
    </row>
    <row r="132">
      <c r="A132" s="8" t="s">
        <v>138</v>
      </c>
    </row>
    <row r="133">
      <c r="A133" s="8" t="s">
        <v>141</v>
      </c>
    </row>
    <row r="134">
      <c r="A134" s="14"/>
    </row>
    <row r="135">
      <c r="A135" s="14" t="s">
        <v>143</v>
      </c>
    </row>
    <row r="136">
      <c r="A136" s="11" t="s">
        <v>144</v>
      </c>
    </row>
    <row r="137">
      <c r="A137" s="8" t="s">
        <v>145</v>
      </c>
    </row>
    <row r="138">
      <c r="A138" s="8" t="s">
        <v>146</v>
      </c>
    </row>
    <row r="139">
      <c r="A139" s="16"/>
    </row>
    <row r="140">
      <c r="A140" s="11" t="s">
        <v>148</v>
      </c>
    </row>
    <row r="141">
      <c r="A141" s="8" t="s">
        <v>150</v>
      </c>
    </row>
    <row r="142">
      <c r="A142" s="8" t="s">
        <v>152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40.88"/>
    <col customWidth="1" min="3" max="3" width="8.0"/>
    <col customWidth="1" min="4" max="4" width="11.13"/>
    <col customWidth="1" min="5" max="5" width="9.38"/>
    <col customWidth="1" min="6" max="6" width="9.88"/>
    <col customWidth="1" min="7" max="7" width="7.5"/>
    <col customWidth="1" min="8" max="9" width="8.0"/>
    <col customWidth="1" min="10" max="11" width="7.5"/>
    <col customWidth="1" min="12" max="14" width="8.0"/>
    <col customWidth="1" min="15" max="15" width="7.5"/>
    <col customWidth="1" min="16" max="16" width="10.0"/>
    <col customWidth="1" min="17" max="17" width="8.88"/>
    <col customWidth="1" min="18" max="18" width="8.5"/>
  </cols>
  <sheetData>
    <row r="1">
      <c r="A1" s="5" t="s">
        <v>3</v>
      </c>
      <c r="B1" s="9" t="s">
        <v>22</v>
      </c>
      <c r="C1" s="12" t="s">
        <v>34</v>
      </c>
      <c r="D1" s="12" t="s">
        <v>34</v>
      </c>
      <c r="E1" s="12" t="s">
        <v>34</v>
      </c>
      <c r="F1" s="12" t="s">
        <v>34</v>
      </c>
      <c r="G1" s="12" t="s">
        <v>34</v>
      </c>
      <c r="H1" s="12" t="s">
        <v>34</v>
      </c>
      <c r="I1" s="12" t="s">
        <v>34</v>
      </c>
      <c r="J1" s="12" t="s">
        <v>34</v>
      </c>
      <c r="K1" s="12" t="s">
        <v>34</v>
      </c>
      <c r="L1" s="12" t="s">
        <v>34</v>
      </c>
      <c r="M1" s="12" t="s">
        <v>34</v>
      </c>
      <c r="N1" s="12" t="s">
        <v>34</v>
      </c>
      <c r="O1" s="12" t="s">
        <v>34</v>
      </c>
      <c r="P1" s="17" t="s">
        <v>66</v>
      </c>
      <c r="Q1" s="17" t="s">
        <v>83</v>
      </c>
      <c r="R1" s="17" t="s">
        <v>96</v>
      </c>
    </row>
    <row r="2">
      <c r="B2" s="20"/>
      <c r="C2" s="21">
        <v>45516.0</v>
      </c>
      <c r="D2" s="21">
        <v>45523.0</v>
      </c>
      <c r="E2" s="21">
        <v>45530.0</v>
      </c>
      <c r="F2" s="21">
        <v>45537.0</v>
      </c>
      <c r="G2" s="21">
        <v>45634.0</v>
      </c>
      <c r="H2" s="22" t="s">
        <v>122</v>
      </c>
      <c r="I2" s="22" t="s">
        <v>127</v>
      </c>
      <c r="J2" s="21">
        <v>45331.0</v>
      </c>
      <c r="K2" s="21">
        <v>45544.0</v>
      </c>
      <c r="L2" s="22" t="s">
        <v>137</v>
      </c>
      <c r="M2" s="22" t="s">
        <v>140</v>
      </c>
      <c r="N2" s="22" t="s">
        <v>142</v>
      </c>
      <c r="O2" s="21">
        <v>45483.0</v>
      </c>
      <c r="P2" s="20"/>
      <c r="Q2" s="20"/>
      <c r="R2" s="20"/>
    </row>
    <row r="3">
      <c r="A3" s="24" t="s">
        <v>149</v>
      </c>
      <c r="B3" s="24" t="s">
        <v>153</v>
      </c>
      <c r="C3" s="25">
        <v>0.0</v>
      </c>
      <c r="D3" s="25">
        <v>9.0</v>
      </c>
      <c r="E3" s="26"/>
      <c r="F3" s="26"/>
      <c r="G3" s="26"/>
      <c r="H3" s="26"/>
      <c r="I3" s="26"/>
      <c r="J3" s="26"/>
      <c r="K3" s="26"/>
      <c r="L3" s="26"/>
      <c r="M3" s="26"/>
      <c r="N3" s="26"/>
      <c r="O3" s="26"/>
      <c r="P3" s="29">
        <f t="shared" ref="P3:P14" si="1">sum(C3:O3)</f>
        <v>9</v>
      </c>
      <c r="Q3" s="30">
        <v>500.0</v>
      </c>
      <c r="R3" s="31">
        <f t="shared" ref="R3:R4" si="2">Q3-P3</f>
        <v>491</v>
      </c>
    </row>
    <row r="4">
      <c r="B4" s="24" t="s">
        <v>163</v>
      </c>
      <c r="C4" s="25">
        <v>0.0</v>
      </c>
      <c r="D4" s="25">
        <v>0.0</v>
      </c>
      <c r="E4" s="26"/>
      <c r="F4" s="26"/>
      <c r="G4" s="26"/>
      <c r="H4" s="26"/>
      <c r="I4" s="26"/>
      <c r="J4" s="26"/>
      <c r="K4" s="26"/>
      <c r="L4" s="26"/>
      <c r="M4" s="26"/>
      <c r="N4" s="26"/>
      <c r="O4" s="26"/>
      <c r="P4" s="29">
        <f t="shared" si="1"/>
        <v>0</v>
      </c>
      <c r="Q4" s="32">
        <v>2000.0</v>
      </c>
      <c r="R4" s="33">
        <f t="shared" si="2"/>
        <v>2000</v>
      </c>
    </row>
    <row r="5">
      <c r="A5" s="34"/>
      <c r="B5" s="35" t="s">
        <v>164</v>
      </c>
      <c r="C5" s="36">
        <v>0.0</v>
      </c>
      <c r="D5" s="36" t="s">
        <v>165</v>
      </c>
      <c r="E5" s="37"/>
      <c r="F5" s="37"/>
      <c r="G5" s="37"/>
      <c r="H5" s="37"/>
      <c r="I5" s="37"/>
      <c r="J5" s="37"/>
      <c r="K5" s="37"/>
      <c r="L5" s="37"/>
      <c r="M5" s="37"/>
      <c r="N5" s="37"/>
      <c r="O5" s="37"/>
      <c r="P5" s="38">
        <f t="shared" si="1"/>
        <v>0</v>
      </c>
      <c r="Q5" s="39">
        <v>0.15</v>
      </c>
      <c r="R5" s="41"/>
    </row>
    <row r="6">
      <c r="A6" s="24" t="s">
        <v>133</v>
      </c>
      <c r="B6" s="24" t="s">
        <v>153</v>
      </c>
      <c r="C6" s="42">
        <v>0.0</v>
      </c>
      <c r="D6" s="42">
        <v>16.0</v>
      </c>
      <c r="E6" s="43"/>
      <c r="F6" s="43"/>
      <c r="G6" s="43"/>
      <c r="H6" s="43"/>
      <c r="I6" s="43"/>
      <c r="J6" s="43"/>
      <c r="K6" s="43"/>
      <c r="L6" s="43"/>
      <c r="M6" s="43"/>
      <c r="N6" s="43"/>
      <c r="O6" s="43"/>
      <c r="P6" s="29">
        <f t="shared" si="1"/>
        <v>16</v>
      </c>
      <c r="Q6" s="30">
        <v>500.0</v>
      </c>
      <c r="R6" s="31">
        <f t="shared" ref="R6:R7" si="3">Q6-P6</f>
        <v>484</v>
      </c>
    </row>
    <row r="7">
      <c r="B7" s="24" t="s">
        <v>169</v>
      </c>
      <c r="C7" s="42">
        <v>0.0</v>
      </c>
      <c r="D7" s="42">
        <v>11.0</v>
      </c>
      <c r="E7" s="43"/>
      <c r="F7" s="43"/>
      <c r="G7" s="43"/>
      <c r="H7" s="43"/>
      <c r="I7" s="43"/>
      <c r="J7" s="43"/>
      <c r="K7" s="43"/>
      <c r="L7" s="43"/>
      <c r="M7" s="43"/>
      <c r="N7" s="43"/>
      <c r="O7" s="43"/>
      <c r="P7" s="29">
        <f t="shared" si="1"/>
        <v>11</v>
      </c>
      <c r="Q7" s="32">
        <v>2000.0</v>
      </c>
      <c r="R7" s="33">
        <f t="shared" si="3"/>
        <v>1989</v>
      </c>
    </row>
    <row r="8">
      <c r="A8" s="34"/>
      <c r="B8" s="35" t="s">
        <v>164</v>
      </c>
      <c r="C8" s="46">
        <v>0.0</v>
      </c>
      <c r="D8" s="47"/>
      <c r="E8" s="47"/>
      <c r="F8" s="47"/>
      <c r="G8" s="47"/>
      <c r="H8" s="47"/>
      <c r="I8" s="47"/>
      <c r="J8" s="47"/>
      <c r="K8" s="47"/>
      <c r="L8" s="47"/>
      <c r="M8" s="47"/>
      <c r="N8" s="47"/>
      <c r="O8" s="47"/>
      <c r="P8" s="38">
        <f t="shared" si="1"/>
        <v>0</v>
      </c>
      <c r="Q8" s="39">
        <v>0.15</v>
      </c>
      <c r="R8" s="41"/>
    </row>
    <row r="9">
      <c r="A9" s="24" t="s">
        <v>156</v>
      </c>
      <c r="B9" s="24" t="s">
        <v>153</v>
      </c>
      <c r="C9" s="42">
        <v>0.0</v>
      </c>
      <c r="D9" s="42">
        <v>50.0</v>
      </c>
      <c r="E9" s="43"/>
      <c r="F9" s="43"/>
      <c r="G9" s="43"/>
      <c r="H9" s="43"/>
      <c r="I9" s="43"/>
      <c r="J9" s="43"/>
      <c r="K9" s="43"/>
      <c r="L9" s="43"/>
      <c r="M9" s="43"/>
      <c r="N9" s="43"/>
      <c r="O9" s="43"/>
      <c r="P9" s="29">
        <f t="shared" si="1"/>
        <v>50</v>
      </c>
      <c r="Q9" s="30">
        <v>500.0</v>
      </c>
      <c r="R9" s="31">
        <f t="shared" ref="R9:R10" si="4">Q9-P9</f>
        <v>450</v>
      </c>
    </row>
    <row r="10">
      <c r="B10" s="24" t="s">
        <v>163</v>
      </c>
      <c r="C10" s="42">
        <v>0.0</v>
      </c>
      <c r="D10" s="42">
        <v>128.0</v>
      </c>
      <c r="E10" s="43"/>
      <c r="F10" s="43"/>
      <c r="G10" s="43"/>
      <c r="H10" s="43"/>
      <c r="I10" s="43"/>
      <c r="J10" s="43"/>
      <c r="K10" s="43"/>
      <c r="L10" s="43"/>
      <c r="M10" s="43"/>
      <c r="N10" s="43"/>
      <c r="O10" s="43"/>
      <c r="P10" s="29">
        <f t="shared" si="1"/>
        <v>128</v>
      </c>
      <c r="Q10" s="32">
        <v>2000.0</v>
      </c>
      <c r="R10" s="33">
        <f t="shared" si="4"/>
        <v>1872</v>
      </c>
    </row>
    <row r="11">
      <c r="A11" s="34"/>
      <c r="B11" s="35" t="s">
        <v>164</v>
      </c>
      <c r="C11" s="46">
        <v>0.0</v>
      </c>
      <c r="D11" s="46" t="s">
        <v>165</v>
      </c>
      <c r="E11" s="47"/>
      <c r="F11" s="47"/>
      <c r="G11" s="47"/>
      <c r="H11" s="47"/>
      <c r="I11" s="47"/>
      <c r="J11" s="47"/>
      <c r="K11" s="47"/>
      <c r="L11" s="47"/>
      <c r="M11" s="47"/>
      <c r="N11" s="47"/>
      <c r="O11" s="47"/>
      <c r="P11" s="38">
        <f t="shared" si="1"/>
        <v>0</v>
      </c>
      <c r="Q11" s="39">
        <v>0.15</v>
      </c>
      <c r="R11" s="41"/>
    </row>
    <row r="12">
      <c r="A12" s="24" t="s">
        <v>175</v>
      </c>
      <c r="B12" s="24" t="s">
        <v>153</v>
      </c>
      <c r="C12" s="42">
        <v>0.0</v>
      </c>
      <c r="D12" s="42">
        <v>0.0</v>
      </c>
      <c r="E12" s="43"/>
      <c r="F12" s="43"/>
      <c r="G12" s="43"/>
      <c r="H12" s="43"/>
      <c r="I12" s="43"/>
      <c r="J12" s="43"/>
      <c r="K12" s="43"/>
      <c r="L12" s="43"/>
      <c r="M12" s="43"/>
      <c r="N12" s="43"/>
      <c r="O12" s="43"/>
      <c r="P12" s="29">
        <f t="shared" si="1"/>
        <v>0</v>
      </c>
      <c r="Q12" s="30">
        <v>500.0</v>
      </c>
      <c r="R12" s="31">
        <f>Q12-P12</f>
        <v>500</v>
      </c>
    </row>
    <row r="13">
      <c r="B13" s="24" t="s">
        <v>163</v>
      </c>
      <c r="C13" s="42">
        <v>0.0</v>
      </c>
      <c r="D13" s="42">
        <v>0.0</v>
      </c>
      <c r="E13" s="43"/>
      <c r="F13" s="43"/>
      <c r="G13" s="43"/>
      <c r="H13" s="43"/>
      <c r="I13" s="43"/>
      <c r="J13" s="43"/>
      <c r="K13" s="43"/>
      <c r="L13" s="43"/>
      <c r="M13" s="43"/>
      <c r="N13" s="43"/>
      <c r="O13" s="43"/>
      <c r="P13" s="29">
        <f t="shared" si="1"/>
        <v>0</v>
      </c>
      <c r="Q13" s="32">
        <v>2000.0</v>
      </c>
      <c r="R13" s="49"/>
    </row>
    <row r="14">
      <c r="A14" s="34"/>
      <c r="B14" s="35" t="s">
        <v>164</v>
      </c>
      <c r="C14" s="46">
        <v>0.0</v>
      </c>
      <c r="D14" s="46">
        <v>0.0</v>
      </c>
      <c r="E14" s="47"/>
      <c r="F14" s="47"/>
      <c r="G14" s="47"/>
      <c r="H14" s="47"/>
      <c r="I14" s="47"/>
      <c r="J14" s="47"/>
      <c r="K14" s="47"/>
      <c r="L14" s="47"/>
      <c r="M14" s="47"/>
      <c r="N14" s="47"/>
      <c r="O14" s="47"/>
      <c r="P14" s="38">
        <f t="shared" si="1"/>
        <v>0</v>
      </c>
      <c r="Q14" s="39">
        <v>0.15</v>
      </c>
      <c r="R14" s="41"/>
    </row>
  </sheetData>
  <mergeCells count="9">
    <mergeCell ref="A9:A11"/>
    <mergeCell ref="A12:A14"/>
    <mergeCell ref="A1:A2"/>
    <mergeCell ref="B1:B2"/>
    <mergeCell ref="P1:P2"/>
    <mergeCell ref="Q1:Q2"/>
    <mergeCell ref="R1:R2"/>
    <mergeCell ref="A3:A5"/>
    <mergeCell ref="A6:A8"/>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3" max="3" width="17.38"/>
    <col customWidth="1" min="5" max="5" width="165.0"/>
  </cols>
  <sheetData>
    <row r="1">
      <c r="A1" s="2" t="s">
        <v>1</v>
      </c>
      <c r="B1" s="4" t="s">
        <v>6</v>
      </c>
      <c r="C1" s="4" t="s">
        <v>8</v>
      </c>
      <c r="D1" s="4" t="s">
        <v>9</v>
      </c>
      <c r="E1" s="4" t="s">
        <v>10</v>
      </c>
      <c r="F1" s="4" t="s">
        <v>11</v>
      </c>
      <c r="G1" s="4" t="s">
        <v>12</v>
      </c>
      <c r="H1" s="4" t="s">
        <v>14</v>
      </c>
      <c r="I1" s="4" t="s">
        <v>15</v>
      </c>
      <c r="J1" s="4" t="s">
        <v>16</v>
      </c>
      <c r="K1" s="4" t="s">
        <v>17</v>
      </c>
      <c r="L1" s="4" t="s">
        <v>18</v>
      </c>
    </row>
    <row r="2">
      <c r="A2" s="7" t="s">
        <v>20</v>
      </c>
      <c r="B2" s="7" t="s">
        <v>24</v>
      </c>
      <c r="C2" s="7" t="s">
        <v>25</v>
      </c>
      <c r="D2" s="7" t="s">
        <v>26</v>
      </c>
      <c r="E2" s="7" t="s">
        <v>49</v>
      </c>
    </row>
    <row r="3">
      <c r="B3" s="7" t="s">
        <v>24</v>
      </c>
      <c r="C3" s="7" t="s">
        <v>25</v>
      </c>
      <c r="D3" s="7" t="s">
        <v>52</v>
      </c>
      <c r="E3" s="7" t="s">
        <v>56</v>
      </c>
    </row>
    <row r="4">
      <c r="B4" s="7" t="s">
        <v>24</v>
      </c>
      <c r="C4" s="7" t="s">
        <v>25</v>
      </c>
      <c r="D4" s="7" t="s">
        <v>52</v>
      </c>
      <c r="E4" s="7" t="s">
        <v>67</v>
      </c>
    </row>
    <row r="5">
      <c r="B5" s="7" t="s">
        <v>24</v>
      </c>
      <c r="C5" s="7" t="s">
        <v>25</v>
      </c>
      <c r="D5" s="7" t="s">
        <v>52</v>
      </c>
      <c r="E5" s="7" t="s">
        <v>85</v>
      </c>
    </row>
    <row r="7">
      <c r="A7" s="7" t="s">
        <v>91</v>
      </c>
      <c r="B7" s="7" t="s">
        <v>93</v>
      </c>
      <c r="C7" s="7" t="s">
        <v>25</v>
      </c>
      <c r="D7" s="7" t="s">
        <v>52</v>
      </c>
      <c r="E7" s="7" t="s">
        <v>109</v>
      </c>
    </row>
    <row r="8">
      <c r="C8" s="7" t="s">
        <v>25</v>
      </c>
      <c r="D8" s="7" t="s">
        <v>26</v>
      </c>
      <c r="E8" s="7" t="s">
        <v>111</v>
      </c>
    </row>
    <row r="9">
      <c r="C9" s="7" t="s">
        <v>25</v>
      </c>
      <c r="D9" s="7" t="s">
        <v>52</v>
      </c>
      <c r="E9" s="7" t="s">
        <v>124</v>
      </c>
    </row>
    <row r="10">
      <c r="C10" s="7" t="s">
        <v>25</v>
      </c>
      <c r="D10" s="7" t="s">
        <v>130</v>
      </c>
      <c r="E10" s="7" t="s">
        <v>132</v>
      </c>
    </row>
    <row r="11">
      <c r="A11" s="7" t="s">
        <v>136</v>
      </c>
      <c r="B11" s="7" t="s">
        <v>139</v>
      </c>
    </row>
    <row r="12">
      <c r="B12" s="7" t="s">
        <v>139</v>
      </c>
    </row>
    <row r="13">
      <c r="B13" s="7" t="s">
        <v>139</v>
      </c>
    </row>
    <row r="14">
      <c r="B14" s="7" t="s">
        <v>139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3" max="3" width="17.38"/>
    <col customWidth="1" min="5" max="5" width="69.63"/>
  </cols>
  <sheetData>
    <row r="1">
      <c r="A1" s="2" t="s">
        <v>1</v>
      </c>
      <c r="B1" s="4" t="s">
        <v>6</v>
      </c>
      <c r="C1" s="4" t="s">
        <v>8</v>
      </c>
      <c r="D1" s="4" t="s">
        <v>9</v>
      </c>
      <c r="E1" s="4" t="s">
        <v>10</v>
      </c>
      <c r="F1" s="4" t="s">
        <v>11</v>
      </c>
      <c r="G1" s="4" t="s">
        <v>12</v>
      </c>
      <c r="H1" s="4" t="s">
        <v>14</v>
      </c>
      <c r="I1" s="4" t="s">
        <v>15</v>
      </c>
      <c r="J1" s="4" t="s">
        <v>16</v>
      </c>
      <c r="K1" s="4" t="s">
        <v>17</v>
      </c>
      <c r="L1" s="4" t="s">
        <v>18</v>
      </c>
    </row>
    <row r="2">
      <c r="A2" s="44" t="s">
        <v>167</v>
      </c>
      <c r="B2" s="7" t="s">
        <v>24</v>
      </c>
      <c r="C2" s="45" t="s">
        <v>25</v>
      </c>
      <c r="D2" s="7" t="s">
        <v>52</v>
      </c>
      <c r="E2" s="23" t="s">
        <v>172</v>
      </c>
    </row>
    <row r="3">
      <c r="B3" s="7" t="s">
        <v>24</v>
      </c>
      <c r="D3" s="7" t="s">
        <v>52</v>
      </c>
      <c r="E3" s="23" t="s">
        <v>173</v>
      </c>
    </row>
    <row r="4">
      <c r="B4" s="7" t="s">
        <v>24</v>
      </c>
      <c r="D4" s="7" t="s">
        <v>52</v>
      </c>
      <c r="E4" s="23" t="s">
        <v>174</v>
      </c>
    </row>
    <row r="5">
      <c r="B5" s="7" t="s">
        <v>24</v>
      </c>
      <c r="D5" s="7" t="s">
        <v>52</v>
      </c>
      <c r="E5" s="23" t="s">
        <v>176</v>
      </c>
    </row>
    <row r="6">
      <c r="A6" s="48"/>
      <c r="B6" s="48"/>
      <c r="C6" s="48"/>
      <c r="D6" s="48"/>
      <c r="E6" s="48"/>
      <c r="F6" s="48"/>
      <c r="G6" s="48"/>
      <c r="H6" s="48"/>
      <c r="I6" s="48"/>
      <c r="J6" s="48"/>
      <c r="K6" s="48"/>
      <c r="L6" s="48"/>
    </row>
    <row r="7">
      <c r="A7" s="50" t="s">
        <v>178</v>
      </c>
      <c r="B7" s="7" t="s">
        <v>93</v>
      </c>
      <c r="C7" s="45" t="s">
        <v>25</v>
      </c>
      <c r="D7" s="7" t="s">
        <v>52</v>
      </c>
      <c r="E7" s="23" t="s">
        <v>179</v>
      </c>
    </row>
    <row r="8">
      <c r="D8" s="7" t="s">
        <v>52</v>
      </c>
      <c r="E8" s="23" t="s">
        <v>180</v>
      </c>
    </row>
    <row r="9">
      <c r="D9" s="7" t="s">
        <v>52</v>
      </c>
      <c r="E9" s="23" t="s">
        <v>182</v>
      </c>
    </row>
    <row r="10">
      <c r="D10" s="7" t="s">
        <v>130</v>
      </c>
      <c r="E10" s="23" t="s">
        <v>183</v>
      </c>
    </row>
    <row r="11">
      <c r="A11" s="48"/>
      <c r="B11" s="48"/>
      <c r="C11" s="48"/>
      <c r="D11" s="48"/>
      <c r="E11" s="48"/>
      <c r="F11" s="48"/>
      <c r="G11" s="48"/>
      <c r="H11" s="48"/>
      <c r="I11" s="48"/>
      <c r="J11" s="48"/>
      <c r="K11" s="48"/>
      <c r="L11" s="48"/>
    </row>
    <row r="12">
      <c r="A12" s="50" t="s">
        <v>184</v>
      </c>
      <c r="B12" s="52" t="s">
        <v>139</v>
      </c>
      <c r="C12" s="53" t="s">
        <v>25</v>
      </c>
      <c r="D12" s="7" t="s">
        <v>52</v>
      </c>
      <c r="E12" s="51" t="s">
        <v>185</v>
      </c>
    </row>
    <row r="13">
      <c r="D13" s="7" t="s">
        <v>52</v>
      </c>
      <c r="E13" s="23" t="s">
        <v>188</v>
      </c>
    </row>
    <row r="14">
      <c r="D14" s="7" t="s">
        <v>52</v>
      </c>
      <c r="E14" s="23" t="s">
        <v>189</v>
      </c>
    </row>
    <row r="15">
      <c r="D15" s="7" t="s">
        <v>52</v>
      </c>
      <c r="E15" s="51" t="s">
        <v>190</v>
      </c>
    </row>
    <row r="16">
      <c r="A16" s="48"/>
      <c r="B16" s="48"/>
      <c r="C16" s="48"/>
      <c r="D16" s="48"/>
      <c r="E16" s="48"/>
      <c r="F16" s="48"/>
      <c r="G16" s="48"/>
      <c r="H16" s="48"/>
      <c r="I16" s="48"/>
      <c r="J16" s="48"/>
      <c r="K16" s="48"/>
      <c r="L16" s="48"/>
    </row>
    <row r="17">
      <c r="A17" s="50" t="s">
        <v>193</v>
      </c>
      <c r="B17" s="7" t="s">
        <v>194</v>
      </c>
      <c r="C17" s="53" t="s">
        <v>25</v>
      </c>
      <c r="D17" s="7" t="s">
        <v>52</v>
      </c>
      <c r="E17" s="51" t="s">
        <v>195</v>
      </c>
    </row>
    <row r="18">
      <c r="D18" s="7" t="s">
        <v>52</v>
      </c>
      <c r="E18" s="23" t="s">
        <v>196</v>
      </c>
    </row>
    <row r="19">
      <c r="D19" s="7" t="s">
        <v>52</v>
      </c>
      <c r="E19" s="51" t="s">
        <v>197</v>
      </c>
    </row>
    <row r="20">
      <c r="D20" s="7" t="s">
        <v>52</v>
      </c>
      <c r="E20" s="23" t="s">
        <v>198</v>
      </c>
    </row>
    <row r="21">
      <c r="A21" s="48"/>
      <c r="B21" s="48"/>
      <c r="C21" s="48"/>
      <c r="D21" s="48"/>
      <c r="E21" s="48"/>
      <c r="F21" s="48"/>
      <c r="G21" s="48"/>
      <c r="H21" s="48"/>
      <c r="I21" s="48"/>
      <c r="J21" s="48"/>
      <c r="K21" s="48"/>
      <c r="L21" s="48"/>
    </row>
    <row r="22">
      <c r="A22" s="50" t="s">
        <v>199</v>
      </c>
      <c r="B22" s="7" t="s">
        <v>34</v>
      </c>
      <c r="C22" s="53" t="s">
        <v>25</v>
      </c>
      <c r="D22" s="7" t="s">
        <v>52</v>
      </c>
      <c r="E22" s="51" t="s">
        <v>202</v>
      </c>
    </row>
    <row r="23">
      <c r="D23" s="7" t="s">
        <v>52</v>
      </c>
      <c r="E23" s="23" t="s">
        <v>203</v>
      </c>
    </row>
    <row r="24">
      <c r="D24" s="7" t="s">
        <v>52</v>
      </c>
      <c r="E24" s="23" t="s">
        <v>205</v>
      </c>
    </row>
    <row r="25">
      <c r="A25" s="48"/>
      <c r="B25" s="48"/>
      <c r="C25" s="48"/>
      <c r="D25" s="48"/>
      <c r="E25" s="48"/>
      <c r="F25" s="48"/>
      <c r="G25" s="48"/>
      <c r="H25" s="48"/>
      <c r="I25" s="48"/>
      <c r="J25" s="48"/>
      <c r="K25" s="48"/>
      <c r="L25" s="48"/>
    </row>
    <row r="26">
      <c r="A26" s="50" t="s">
        <v>207</v>
      </c>
      <c r="B26" s="7" t="s">
        <v>208</v>
      </c>
      <c r="C26" s="53" t="s">
        <v>25</v>
      </c>
      <c r="D26" s="7" t="s">
        <v>52</v>
      </c>
      <c r="E26" s="51" t="s">
        <v>209</v>
      </c>
    </row>
    <row r="27">
      <c r="D27" s="7" t="s">
        <v>52</v>
      </c>
      <c r="E27" s="23" t="s">
        <v>210</v>
      </c>
    </row>
    <row r="28">
      <c r="D28" s="7" t="s">
        <v>52</v>
      </c>
      <c r="E28" s="23" t="s">
        <v>213</v>
      </c>
    </row>
    <row r="29">
      <c r="A29" s="48"/>
      <c r="B29" s="48"/>
      <c r="C29" s="48"/>
      <c r="D29" s="48"/>
      <c r="E29" s="48"/>
      <c r="F29" s="48"/>
      <c r="G29" s="48"/>
      <c r="H29" s="48"/>
      <c r="I29" s="48"/>
      <c r="J29" s="48"/>
      <c r="K29" s="48"/>
      <c r="L29" s="48"/>
    </row>
    <row r="30">
      <c r="A30" s="50" t="s">
        <v>214</v>
      </c>
      <c r="B30" s="7" t="s">
        <v>215</v>
      </c>
      <c r="C30" s="53" t="s">
        <v>25</v>
      </c>
      <c r="D30" s="7" t="s">
        <v>52</v>
      </c>
      <c r="E30" s="51" t="s">
        <v>217</v>
      </c>
    </row>
    <row r="31">
      <c r="D31" s="7" t="s">
        <v>52</v>
      </c>
      <c r="E31" s="23" t="s">
        <v>220</v>
      </c>
    </row>
    <row r="32">
      <c r="D32" s="7" t="s">
        <v>52</v>
      </c>
      <c r="E32" s="23" t="s">
        <v>221</v>
      </c>
    </row>
    <row r="33">
      <c r="D33" s="7" t="s">
        <v>52</v>
      </c>
      <c r="E33" s="23" t="s">
        <v>222</v>
      </c>
    </row>
    <row r="34">
      <c r="A34" s="48"/>
      <c r="B34" s="48"/>
      <c r="C34" s="48"/>
      <c r="D34" s="48"/>
      <c r="E34" s="48"/>
      <c r="F34" s="48"/>
      <c r="G34" s="48"/>
      <c r="H34" s="48"/>
      <c r="I34" s="48"/>
      <c r="J34" s="48"/>
      <c r="K34" s="48"/>
      <c r="L34" s="48"/>
    </row>
    <row r="35">
      <c r="A35" s="50" t="s">
        <v>225</v>
      </c>
      <c r="B35" s="7" t="s">
        <v>24</v>
      </c>
      <c r="C35" s="53" t="s">
        <v>25</v>
      </c>
      <c r="D35" s="7" t="s">
        <v>52</v>
      </c>
      <c r="E35" s="23" t="s">
        <v>226</v>
      </c>
    </row>
    <row r="36">
      <c r="D36" s="7" t="s">
        <v>52</v>
      </c>
      <c r="E36" s="23" t="s">
        <v>228</v>
      </c>
    </row>
    <row r="37">
      <c r="D37" s="7" t="s">
        <v>52</v>
      </c>
      <c r="E37" s="23" t="s">
        <v>230</v>
      </c>
    </row>
    <row r="38">
      <c r="D38" s="7" t="s">
        <v>52</v>
      </c>
      <c r="E38" s="23" t="s">
        <v>232</v>
      </c>
    </row>
    <row r="39">
      <c r="A39" s="48"/>
      <c r="B39" s="48"/>
      <c r="C39" s="48"/>
      <c r="D39" s="48"/>
      <c r="E39" s="48"/>
      <c r="F39" s="48"/>
      <c r="G39" s="48"/>
      <c r="H39" s="48"/>
      <c r="I39" s="48"/>
      <c r="J39" s="48"/>
      <c r="K39" s="48"/>
      <c r="L39" s="48"/>
    </row>
    <row r="40">
      <c r="A40" s="50" t="s">
        <v>233</v>
      </c>
      <c r="B40" s="7" t="s">
        <v>234</v>
      </c>
      <c r="C40" s="53" t="s">
        <v>25</v>
      </c>
      <c r="D40" s="7" t="s">
        <v>52</v>
      </c>
      <c r="E40" s="23" t="s">
        <v>236</v>
      </c>
    </row>
    <row r="41">
      <c r="D41" s="7" t="s">
        <v>52</v>
      </c>
      <c r="E41" s="23" t="s">
        <v>237</v>
      </c>
    </row>
    <row r="42">
      <c r="D42" s="7" t="s">
        <v>52</v>
      </c>
      <c r="E42" s="23" t="s">
        <v>239</v>
      </c>
    </row>
    <row r="43">
      <c r="A43" s="48"/>
      <c r="B43" s="48"/>
      <c r="C43" s="48"/>
      <c r="D43" s="48"/>
      <c r="E43" s="48"/>
      <c r="F43" s="48"/>
      <c r="G43" s="48"/>
      <c r="H43" s="48"/>
      <c r="I43" s="48"/>
      <c r="J43" s="48"/>
      <c r="K43" s="48"/>
      <c r="L43" s="48"/>
    </row>
    <row r="44">
      <c r="A44" s="50" t="s">
        <v>241</v>
      </c>
      <c r="B44" s="7" t="s">
        <v>242</v>
      </c>
      <c r="C44" s="53" t="s">
        <v>25</v>
      </c>
      <c r="D44" s="7" t="s">
        <v>52</v>
      </c>
      <c r="E44" s="23" t="s">
        <v>245</v>
      </c>
    </row>
    <row r="45">
      <c r="D45" s="7" t="s">
        <v>52</v>
      </c>
      <c r="E45" s="23" t="s">
        <v>246</v>
      </c>
    </row>
    <row r="46">
      <c r="D46" s="7" t="s">
        <v>52</v>
      </c>
      <c r="E46" s="23" t="s">
        <v>250</v>
      </c>
    </row>
    <row r="47">
      <c r="D47" s="7" t="s">
        <v>52</v>
      </c>
      <c r="E47" s="23" t="s">
        <v>254</v>
      </c>
    </row>
    <row r="48">
      <c r="A48" s="48"/>
      <c r="B48" s="48"/>
      <c r="C48" s="48"/>
      <c r="D48" s="48"/>
      <c r="E48" s="48"/>
      <c r="F48" s="48"/>
      <c r="G48" s="48"/>
      <c r="H48" s="48"/>
      <c r="I48" s="48"/>
      <c r="J48" s="48"/>
      <c r="K48" s="48"/>
      <c r="L48" s="48"/>
    </row>
    <row r="49">
      <c r="A49" s="50" t="s">
        <v>256</v>
      </c>
      <c r="B49" s="7" t="s">
        <v>257</v>
      </c>
      <c r="C49" s="53" t="s">
        <v>25</v>
      </c>
      <c r="D49" s="7" t="s">
        <v>52</v>
      </c>
      <c r="E49" s="23" t="s">
        <v>262</v>
      </c>
    </row>
    <row r="50">
      <c r="D50" s="7" t="s">
        <v>52</v>
      </c>
      <c r="E50" s="23" t="s">
        <v>272</v>
      </c>
    </row>
    <row r="51">
      <c r="D51" s="7" t="s">
        <v>52</v>
      </c>
      <c r="E51" s="23" t="s">
        <v>278</v>
      </c>
    </row>
    <row r="52">
      <c r="D52" s="7" t="s">
        <v>52</v>
      </c>
      <c r="E52" s="23" t="s">
        <v>279</v>
      </c>
    </row>
    <row r="53">
      <c r="A53" s="48"/>
      <c r="B53" s="48"/>
      <c r="C53" s="48"/>
      <c r="D53" s="48"/>
      <c r="E53" s="48"/>
      <c r="F53" s="48"/>
      <c r="G53" s="48"/>
      <c r="H53" s="48"/>
      <c r="I53" s="48"/>
      <c r="J53" s="48"/>
      <c r="K53" s="48"/>
      <c r="L53" s="48"/>
    </row>
    <row r="54">
      <c r="A54" s="50" t="s">
        <v>280</v>
      </c>
      <c r="B54" s="7" t="s">
        <v>281</v>
      </c>
      <c r="C54" s="53" t="s">
        <v>25</v>
      </c>
      <c r="D54" s="7" t="s">
        <v>52</v>
      </c>
      <c r="E54" s="23" t="s">
        <v>282</v>
      </c>
    </row>
    <row r="55">
      <c r="D55" s="7" t="s">
        <v>52</v>
      </c>
      <c r="E55" s="23" t="s">
        <v>284</v>
      </c>
    </row>
    <row r="56">
      <c r="D56" s="7" t="s">
        <v>52</v>
      </c>
      <c r="E56" s="23" t="s">
        <v>288</v>
      </c>
    </row>
    <row r="57">
      <c r="A57" s="48"/>
      <c r="B57" s="48"/>
      <c r="C57" s="48"/>
      <c r="D57" s="48"/>
      <c r="E57" s="48"/>
      <c r="F57" s="48"/>
      <c r="G57" s="48"/>
      <c r="H57" s="48"/>
      <c r="I57" s="48"/>
      <c r="J57" s="48"/>
      <c r="K57" s="48"/>
      <c r="L57" s="48"/>
    </row>
    <row r="58">
      <c r="A58" s="50" t="s">
        <v>289</v>
      </c>
      <c r="B58" s="7" t="s">
        <v>208</v>
      </c>
      <c r="C58" s="53" t="s">
        <v>25</v>
      </c>
      <c r="D58" s="7" t="s">
        <v>52</v>
      </c>
      <c r="E58" s="23" t="s">
        <v>293</v>
      </c>
    </row>
    <row r="59">
      <c r="D59" s="7" t="s">
        <v>52</v>
      </c>
      <c r="E59" s="23" t="s">
        <v>295</v>
      </c>
    </row>
    <row r="60">
      <c r="D60" s="7" t="s">
        <v>52</v>
      </c>
      <c r="E60" s="23" t="s">
        <v>298</v>
      </c>
    </row>
    <row r="61">
      <c r="D61" s="7" t="s">
        <v>52</v>
      </c>
      <c r="E61" s="23" t="s">
        <v>300</v>
      </c>
    </row>
    <row r="62">
      <c r="A62" s="48"/>
      <c r="B62" s="48"/>
      <c r="C62" s="48"/>
      <c r="D62" s="48"/>
      <c r="E62" s="48"/>
    </row>
    <row r="63">
      <c r="A63" s="50" t="s">
        <v>301</v>
      </c>
      <c r="B63" s="7" t="s">
        <v>215</v>
      </c>
      <c r="C63" s="53" t="s">
        <v>25</v>
      </c>
      <c r="D63" s="7" t="s">
        <v>52</v>
      </c>
      <c r="E63" s="23" t="s">
        <v>302</v>
      </c>
    </row>
    <row r="64">
      <c r="D64" s="7" t="s">
        <v>52</v>
      </c>
      <c r="E64" s="23" t="s">
        <v>303</v>
      </c>
    </row>
    <row r="65">
      <c r="D65" s="7" t="s">
        <v>52</v>
      </c>
      <c r="E65" s="23" t="s">
        <v>305</v>
      </c>
    </row>
    <row r="66">
      <c r="D66" s="7" t="s">
        <v>52</v>
      </c>
      <c r="E66" s="23" t="s">
        <v>308</v>
      </c>
    </row>
    <row r="67">
      <c r="A67" s="48"/>
      <c r="B67" s="48"/>
      <c r="C67" s="48"/>
      <c r="D67" s="48"/>
      <c r="E67" s="48"/>
    </row>
    <row r="68">
      <c r="A68" s="50" t="s">
        <v>309</v>
      </c>
      <c r="B68" s="7" t="s">
        <v>24</v>
      </c>
      <c r="C68" s="53" t="s">
        <v>25</v>
      </c>
      <c r="D68" s="7" t="s">
        <v>52</v>
      </c>
      <c r="E68" s="23" t="s">
        <v>312</v>
      </c>
    </row>
    <row r="69">
      <c r="D69" s="7" t="s">
        <v>52</v>
      </c>
      <c r="E69" s="23" t="s">
        <v>314</v>
      </c>
    </row>
    <row r="70">
      <c r="D70" s="7" t="s">
        <v>52</v>
      </c>
      <c r="E70" s="23" t="s">
        <v>318</v>
      </c>
    </row>
    <row r="71">
      <c r="D71" s="7" t="s">
        <v>52</v>
      </c>
      <c r="E71" s="23" t="s">
        <v>319</v>
      </c>
    </row>
    <row r="72">
      <c r="A72" s="48"/>
      <c r="B72" s="48"/>
      <c r="C72" s="48"/>
      <c r="D72" s="48"/>
      <c r="E72" s="48"/>
    </row>
    <row r="73">
      <c r="A73" s="50" t="s">
        <v>320</v>
      </c>
      <c r="B73" s="7" t="s">
        <v>234</v>
      </c>
      <c r="C73" s="53" t="s">
        <v>25</v>
      </c>
      <c r="D73" s="7" t="s">
        <v>52</v>
      </c>
      <c r="E73" s="23" t="s">
        <v>324</v>
      </c>
    </row>
    <row r="74">
      <c r="D74" s="7" t="s">
        <v>52</v>
      </c>
      <c r="E74" s="23" t="s">
        <v>325</v>
      </c>
    </row>
    <row r="75">
      <c r="D75" s="7" t="s">
        <v>52</v>
      </c>
      <c r="E75" s="23" t="s">
        <v>328</v>
      </c>
    </row>
    <row r="76">
      <c r="A76" s="48"/>
      <c r="B76" s="48"/>
      <c r="C76" s="48"/>
      <c r="D76" s="48"/>
      <c r="E76" s="48"/>
    </row>
    <row r="77">
      <c r="A77" s="50" t="s">
        <v>330</v>
      </c>
      <c r="B77" s="7" t="s">
        <v>242</v>
      </c>
      <c r="C77" s="53" t="s">
        <v>25</v>
      </c>
      <c r="D77" s="7" t="s">
        <v>52</v>
      </c>
      <c r="E77" s="23" t="s">
        <v>331</v>
      </c>
    </row>
    <row r="78">
      <c r="D78" s="7" t="s">
        <v>52</v>
      </c>
      <c r="E78" s="23" t="s">
        <v>333</v>
      </c>
    </row>
    <row r="79">
      <c r="D79" s="7" t="s">
        <v>52</v>
      </c>
      <c r="E79" s="23" t="s">
        <v>336</v>
      </c>
    </row>
    <row r="80">
      <c r="D80" s="7" t="s">
        <v>52</v>
      </c>
      <c r="E80" s="23" t="s">
        <v>337</v>
      </c>
    </row>
    <row r="81">
      <c r="A81" s="48"/>
      <c r="B81" s="48"/>
      <c r="C81" s="48"/>
      <c r="D81" s="48"/>
      <c r="E81" s="48"/>
    </row>
  </sheetData>
  <mergeCells count="17">
    <mergeCell ref="C2:C5"/>
    <mergeCell ref="C7:C10"/>
    <mergeCell ref="C12:C15"/>
    <mergeCell ref="C17:C20"/>
    <mergeCell ref="C22:C24"/>
    <mergeCell ref="C26:C28"/>
    <mergeCell ref="C30:C33"/>
    <mergeCell ref="C68:C71"/>
    <mergeCell ref="C73:C75"/>
    <mergeCell ref="C77:C80"/>
    <mergeCell ref="C35:C38"/>
    <mergeCell ref="C40:C42"/>
    <mergeCell ref="C44:C47"/>
    <mergeCell ref="C49:C52"/>
    <mergeCell ref="C54:C56"/>
    <mergeCell ref="C58:C61"/>
    <mergeCell ref="C63:C66"/>
  </mergeCells>
  <hyperlinks>
    <hyperlink r:id="rId1" ref="E12"/>
    <hyperlink r:id="rId2" ref="E15"/>
    <hyperlink r:id="rId3" ref="E17"/>
    <hyperlink r:id="rId4" ref="E19"/>
    <hyperlink r:id="rId5" ref="E22"/>
    <hyperlink r:id="rId6" ref="E26"/>
    <hyperlink r:id="rId7" ref="E30"/>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3" max="3" width="19.38"/>
    <col customWidth="1" min="4" max="4" width="16.88"/>
    <col customWidth="1" min="5" max="5" width="214.75"/>
    <col customWidth="1" min="6" max="6" width="16.88"/>
    <col customWidth="1" min="7" max="7" width="8.38"/>
    <col customWidth="1" min="8" max="8" width="15.5"/>
    <col customWidth="1" min="9" max="9" width="15.0"/>
    <col customWidth="1" min="10" max="10" width="20.75"/>
    <col customWidth="1" min="11" max="11" width="16.38"/>
    <col customWidth="1" min="12" max="12" width="15.63"/>
  </cols>
  <sheetData>
    <row r="1">
      <c r="A1" s="54" t="s">
        <v>1</v>
      </c>
      <c r="B1" s="56" t="s">
        <v>6</v>
      </c>
      <c r="C1" s="56" t="s">
        <v>8</v>
      </c>
      <c r="D1" s="56" t="s">
        <v>9</v>
      </c>
      <c r="E1" s="56" t="s">
        <v>10</v>
      </c>
      <c r="F1" s="56" t="s">
        <v>11</v>
      </c>
      <c r="G1" s="56" t="s">
        <v>12</v>
      </c>
      <c r="H1" s="56" t="s">
        <v>243</v>
      </c>
      <c r="I1" s="56" t="s">
        <v>14</v>
      </c>
      <c r="J1" s="56" t="s">
        <v>15</v>
      </c>
      <c r="K1" s="56" t="s">
        <v>16</v>
      </c>
      <c r="L1" s="56" t="s">
        <v>17</v>
      </c>
      <c r="M1" s="56" t="s">
        <v>18</v>
      </c>
    </row>
    <row r="2">
      <c r="A2" s="57">
        <v>45534.0</v>
      </c>
      <c r="B2" s="58" t="s">
        <v>249</v>
      </c>
      <c r="C2" s="59" t="s">
        <v>251</v>
      </c>
      <c r="D2" s="59" t="s">
        <v>253</v>
      </c>
      <c r="E2" s="59" t="s">
        <v>263</v>
      </c>
      <c r="F2" s="58" t="s">
        <v>264</v>
      </c>
      <c r="G2" s="59" t="s">
        <v>265</v>
      </c>
      <c r="H2" s="57">
        <v>45534.0</v>
      </c>
      <c r="I2" s="59" t="s">
        <v>266</v>
      </c>
      <c r="J2" s="59" t="s">
        <v>267</v>
      </c>
      <c r="K2" s="60"/>
      <c r="L2" s="60"/>
      <c r="M2" s="60"/>
    </row>
    <row r="3">
      <c r="A3" s="57">
        <v>45534.0</v>
      </c>
      <c r="B3" s="58" t="s">
        <v>268</v>
      </c>
      <c r="C3" s="59" t="s">
        <v>251</v>
      </c>
      <c r="D3" s="61" t="s">
        <v>253</v>
      </c>
      <c r="E3" s="59" t="s">
        <v>271</v>
      </c>
      <c r="F3" s="58" t="s">
        <v>264</v>
      </c>
      <c r="G3" s="59" t="s">
        <v>265</v>
      </c>
      <c r="H3" s="57">
        <v>45534.0</v>
      </c>
      <c r="I3" s="59" t="s">
        <v>273</v>
      </c>
      <c r="J3" s="59" t="s">
        <v>275</v>
      </c>
      <c r="K3" s="60"/>
      <c r="L3" s="60"/>
      <c r="M3" s="60"/>
    </row>
    <row r="4">
      <c r="A4" s="57">
        <v>45534.0</v>
      </c>
      <c r="B4" s="58" t="s">
        <v>277</v>
      </c>
      <c r="C4" s="59" t="s">
        <v>251</v>
      </c>
      <c r="D4" s="59" t="s">
        <v>253</v>
      </c>
      <c r="E4" s="59" t="s">
        <v>283</v>
      </c>
      <c r="F4" s="58" t="s">
        <v>264</v>
      </c>
      <c r="G4" s="59" t="s">
        <v>265</v>
      </c>
      <c r="H4" s="57">
        <v>45534.0</v>
      </c>
      <c r="I4" s="59" t="s">
        <v>266</v>
      </c>
      <c r="J4" s="58" t="s">
        <v>285</v>
      </c>
      <c r="K4" s="60"/>
      <c r="L4" s="60"/>
      <c r="M4" s="60"/>
    </row>
    <row r="5">
      <c r="A5" s="57">
        <v>45535.0</v>
      </c>
      <c r="B5" s="58" t="s">
        <v>249</v>
      </c>
      <c r="C5" s="59" t="s">
        <v>251</v>
      </c>
      <c r="D5" s="59" t="s">
        <v>253</v>
      </c>
      <c r="E5" s="62" t="s">
        <v>292</v>
      </c>
      <c r="F5" s="58" t="s">
        <v>264</v>
      </c>
      <c r="G5" s="59" t="s">
        <v>265</v>
      </c>
      <c r="H5" s="57">
        <v>45535.0</v>
      </c>
      <c r="I5" s="59" t="s">
        <v>266</v>
      </c>
      <c r="J5" s="59" t="s">
        <v>267</v>
      </c>
      <c r="K5" s="60"/>
      <c r="L5" s="60"/>
      <c r="M5" s="60"/>
    </row>
    <row r="6">
      <c r="A6" s="57">
        <v>45535.0</v>
      </c>
      <c r="B6" s="58" t="s">
        <v>268</v>
      </c>
      <c r="C6" s="59" t="s">
        <v>251</v>
      </c>
      <c r="D6" s="61" t="s">
        <v>253</v>
      </c>
      <c r="E6" s="59" t="s">
        <v>310</v>
      </c>
      <c r="F6" s="58" t="s">
        <v>264</v>
      </c>
      <c r="G6" s="59" t="s">
        <v>265</v>
      </c>
      <c r="H6" s="57">
        <v>45535.0</v>
      </c>
      <c r="I6" s="59" t="s">
        <v>273</v>
      </c>
      <c r="J6" s="59" t="s">
        <v>275</v>
      </c>
      <c r="K6" s="60"/>
      <c r="L6" s="60"/>
      <c r="M6" s="60"/>
    </row>
    <row r="7">
      <c r="A7" s="57">
        <v>45535.0</v>
      </c>
      <c r="B7" s="58" t="s">
        <v>277</v>
      </c>
      <c r="C7" s="59" t="s">
        <v>251</v>
      </c>
      <c r="D7" s="59" t="s">
        <v>253</v>
      </c>
      <c r="E7" s="59" t="s">
        <v>316</v>
      </c>
      <c r="F7" s="58" t="s">
        <v>264</v>
      </c>
      <c r="G7" s="59" t="s">
        <v>265</v>
      </c>
      <c r="H7" s="57">
        <v>45535.0</v>
      </c>
      <c r="I7" s="59" t="s">
        <v>266</v>
      </c>
      <c r="J7" s="58" t="s">
        <v>285</v>
      </c>
      <c r="K7" s="60"/>
      <c r="L7" s="60"/>
      <c r="M7" s="60"/>
    </row>
    <row r="8">
      <c r="A8" s="57">
        <v>45536.0</v>
      </c>
      <c r="B8" s="58" t="s">
        <v>249</v>
      </c>
      <c r="C8" s="59" t="s">
        <v>251</v>
      </c>
      <c r="D8" s="59" t="s">
        <v>253</v>
      </c>
      <c r="E8" s="59" t="s">
        <v>322</v>
      </c>
      <c r="F8" s="58" t="s">
        <v>264</v>
      </c>
      <c r="G8" s="59" t="s">
        <v>265</v>
      </c>
      <c r="H8" s="57">
        <v>45536.0</v>
      </c>
      <c r="I8" s="59" t="s">
        <v>266</v>
      </c>
      <c r="J8" s="59" t="s">
        <v>267</v>
      </c>
      <c r="K8" s="60"/>
      <c r="L8" s="60"/>
      <c r="M8" s="60"/>
    </row>
    <row r="9">
      <c r="A9" s="57">
        <v>45536.0</v>
      </c>
      <c r="B9" s="58" t="s">
        <v>268</v>
      </c>
      <c r="C9" s="59" t="s">
        <v>251</v>
      </c>
      <c r="D9" s="61" t="s">
        <v>253</v>
      </c>
      <c r="E9" s="59" t="s">
        <v>329</v>
      </c>
      <c r="F9" s="58" t="s">
        <v>264</v>
      </c>
      <c r="G9" s="59" t="s">
        <v>265</v>
      </c>
      <c r="H9" s="57">
        <v>45536.0</v>
      </c>
      <c r="I9" s="59" t="s">
        <v>273</v>
      </c>
      <c r="J9" s="59" t="s">
        <v>275</v>
      </c>
      <c r="K9" s="60"/>
      <c r="L9" s="60"/>
      <c r="M9" s="60"/>
    </row>
    <row r="10">
      <c r="A10" s="57">
        <v>45536.0</v>
      </c>
      <c r="B10" s="58" t="s">
        <v>277</v>
      </c>
      <c r="C10" s="59" t="s">
        <v>251</v>
      </c>
      <c r="D10" s="59" t="s">
        <v>253</v>
      </c>
      <c r="E10" s="59" t="s">
        <v>332</v>
      </c>
      <c r="F10" s="58" t="s">
        <v>264</v>
      </c>
      <c r="G10" s="59" t="s">
        <v>265</v>
      </c>
      <c r="H10" s="57">
        <v>45536.0</v>
      </c>
      <c r="I10" s="59" t="s">
        <v>266</v>
      </c>
      <c r="J10" s="58" t="s">
        <v>285</v>
      </c>
      <c r="K10" s="60"/>
      <c r="L10" s="60"/>
      <c r="M10" s="60"/>
    </row>
    <row r="11" hidden="1">
      <c r="A11" s="63"/>
      <c r="B11" s="43"/>
    </row>
    <row r="12" hidden="1">
      <c r="A12" s="63"/>
      <c r="B12" s="43"/>
    </row>
    <row r="13" hidden="1">
      <c r="A13" s="63"/>
      <c r="B13" s="43"/>
    </row>
    <row r="14" hidden="1">
      <c r="A14" s="63"/>
      <c r="B14" s="43"/>
    </row>
    <row r="15" hidden="1">
      <c r="A15" s="63"/>
      <c r="B15" s="43"/>
    </row>
    <row r="16" hidden="1">
      <c r="A16" s="63"/>
      <c r="B16" s="43"/>
    </row>
    <row r="17" hidden="1">
      <c r="A17" s="63"/>
      <c r="B17" s="43"/>
    </row>
    <row r="18" hidden="1">
      <c r="A18" s="63"/>
      <c r="B18" s="43"/>
    </row>
    <row r="19" hidden="1">
      <c r="A19" s="63"/>
      <c r="B19" s="43"/>
    </row>
    <row r="20" hidden="1">
      <c r="A20" s="63"/>
      <c r="B20" s="43"/>
    </row>
    <row r="21" hidden="1">
      <c r="A21" s="63"/>
      <c r="B21" s="43"/>
    </row>
    <row r="22" hidden="1">
      <c r="A22" s="63"/>
      <c r="B22" s="43"/>
    </row>
    <row r="23" hidden="1">
      <c r="A23" s="63"/>
      <c r="B23" s="43"/>
    </row>
    <row r="24" hidden="1">
      <c r="A24" s="63"/>
      <c r="B24" s="43"/>
    </row>
    <row r="25" hidden="1">
      <c r="A25" s="63"/>
      <c r="B25" s="43"/>
    </row>
    <row r="26" hidden="1">
      <c r="A26" s="63"/>
      <c r="B26" s="43"/>
    </row>
    <row r="27" hidden="1">
      <c r="A27" s="63"/>
      <c r="B27" s="43"/>
    </row>
    <row r="28" hidden="1">
      <c r="A28" s="63"/>
      <c r="B28" s="43"/>
    </row>
    <row r="29" hidden="1">
      <c r="A29" s="63"/>
      <c r="B29" s="43"/>
    </row>
    <row r="30" hidden="1">
      <c r="A30" s="63"/>
      <c r="B30" s="43"/>
    </row>
    <row r="31" hidden="1">
      <c r="A31" s="63"/>
      <c r="B31" s="43"/>
    </row>
    <row r="32" hidden="1">
      <c r="A32" s="63"/>
      <c r="B32" s="43"/>
    </row>
    <row r="33" hidden="1">
      <c r="A33" s="63"/>
      <c r="B33" s="43"/>
    </row>
    <row r="34" hidden="1">
      <c r="A34" s="63"/>
      <c r="B34" s="43"/>
    </row>
    <row r="35" hidden="1">
      <c r="A35" s="63"/>
      <c r="B35" s="43"/>
    </row>
    <row r="36" hidden="1">
      <c r="A36" s="63"/>
      <c r="B36" s="43"/>
    </row>
    <row r="37" hidden="1">
      <c r="A37" s="63"/>
      <c r="B37" s="43"/>
    </row>
    <row r="38" hidden="1">
      <c r="A38" s="63"/>
      <c r="B38" s="43"/>
    </row>
    <row r="39" hidden="1">
      <c r="A39" s="63"/>
      <c r="B39" s="43"/>
    </row>
    <row r="40" hidden="1">
      <c r="A40" s="63"/>
      <c r="B40" s="43"/>
    </row>
    <row r="41" hidden="1">
      <c r="A41" s="63"/>
      <c r="B41" s="43"/>
    </row>
    <row r="42" hidden="1">
      <c r="A42" s="63"/>
      <c r="B42" s="43"/>
    </row>
    <row r="43" hidden="1">
      <c r="A43" s="63"/>
      <c r="B43" s="43"/>
    </row>
    <row r="44" hidden="1">
      <c r="A44" s="63"/>
      <c r="B44" s="43"/>
    </row>
    <row r="45" hidden="1">
      <c r="A45" s="63"/>
      <c r="B45" s="43"/>
    </row>
    <row r="46" hidden="1">
      <c r="A46" s="63"/>
      <c r="B46" s="43"/>
    </row>
    <row r="47" hidden="1">
      <c r="A47" s="63"/>
      <c r="B47" s="43"/>
    </row>
    <row r="48" hidden="1">
      <c r="A48" s="63"/>
      <c r="B48" s="43"/>
    </row>
    <row r="49" hidden="1">
      <c r="A49" s="63"/>
      <c r="B49" s="43"/>
    </row>
    <row r="50" hidden="1">
      <c r="A50" s="63"/>
      <c r="B50" s="43"/>
    </row>
    <row r="51" hidden="1">
      <c r="A51" s="63"/>
      <c r="B51" s="43"/>
    </row>
    <row r="52" hidden="1">
      <c r="A52" s="63"/>
      <c r="B52" s="43"/>
    </row>
    <row r="53" hidden="1">
      <c r="A53" s="63"/>
      <c r="B53" s="43"/>
    </row>
    <row r="54" hidden="1">
      <c r="A54" s="63"/>
      <c r="B54" s="43"/>
    </row>
    <row r="55" hidden="1">
      <c r="A55" s="63"/>
      <c r="B55" s="43"/>
    </row>
    <row r="56" hidden="1">
      <c r="A56" s="63"/>
      <c r="B56" s="43"/>
    </row>
    <row r="57" hidden="1">
      <c r="A57" s="63"/>
      <c r="B57" s="43"/>
    </row>
    <row r="58" hidden="1">
      <c r="A58" s="63"/>
      <c r="B58" s="43"/>
    </row>
    <row r="59" hidden="1">
      <c r="A59" s="63"/>
      <c r="B59" s="43"/>
    </row>
    <row r="60" hidden="1">
      <c r="A60" s="63"/>
      <c r="B60" s="43"/>
    </row>
    <row r="61" hidden="1">
      <c r="A61" s="63"/>
      <c r="B61" s="43"/>
    </row>
    <row r="62" hidden="1">
      <c r="A62" s="63"/>
      <c r="B62" s="43"/>
    </row>
    <row r="63" hidden="1">
      <c r="A63" s="63"/>
      <c r="B63" s="43"/>
    </row>
    <row r="64" hidden="1">
      <c r="A64" s="63"/>
      <c r="B64" s="43"/>
    </row>
    <row r="65" hidden="1">
      <c r="A65" s="63"/>
      <c r="B65" s="43"/>
    </row>
    <row r="66" hidden="1">
      <c r="A66" s="63"/>
      <c r="B66" s="43"/>
    </row>
    <row r="67" hidden="1">
      <c r="A67" s="63"/>
      <c r="B67" s="43"/>
    </row>
    <row r="68" hidden="1">
      <c r="A68" s="63"/>
      <c r="B68" s="43"/>
    </row>
    <row r="69" hidden="1">
      <c r="A69" s="63"/>
      <c r="B69" s="43"/>
    </row>
    <row r="70" hidden="1">
      <c r="A70" s="63"/>
      <c r="B70" s="43"/>
    </row>
    <row r="71" hidden="1">
      <c r="A71" s="63"/>
      <c r="B71" s="43"/>
    </row>
    <row r="72" hidden="1">
      <c r="A72" s="63"/>
      <c r="B72" s="43"/>
    </row>
    <row r="73" hidden="1">
      <c r="A73" s="63"/>
      <c r="B73" s="43"/>
    </row>
    <row r="74" hidden="1">
      <c r="A74" s="63"/>
      <c r="B74" s="43"/>
    </row>
    <row r="75" hidden="1">
      <c r="A75" s="63"/>
      <c r="B75" s="43"/>
    </row>
    <row r="76" hidden="1">
      <c r="A76" s="63"/>
      <c r="B76" s="43"/>
    </row>
    <row r="77" hidden="1">
      <c r="A77" s="63"/>
      <c r="B77" s="43"/>
    </row>
    <row r="78" hidden="1">
      <c r="A78" s="63"/>
      <c r="B78" s="43"/>
    </row>
    <row r="79" hidden="1">
      <c r="A79" s="63"/>
      <c r="B79" s="43"/>
    </row>
    <row r="80" hidden="1">
      <c r="A80" s="63"/>
      <c r="B80" s="43"/>
    </row>
    <row r="81" hidden="1">
      <c r="A81" s="63"/>
      <c r="B81" s="43"/>
    </row>
    <row r="82" hidden="1">
      <c r="A82" s="63"/>
      <c r="B82" s="43"/>
    </row>
    <row r="83" hidden="1">
      <c r="A83" s="63"/>
      <c r="B83" s="43"/>
    </row>
    <row r="84" hidden="1">
      <c r="A84" s="63"/>
      <c r="B84" s="43"/>
    </row>
    <row r="85" hidden="1">
      <c r="A85" s="63"/>
      <c r="B85" s="43"/>
    </row>
    <row r="86" hidden="1">
      <c r="A86" s="63"/>
      <c r="B86" s="43"/>
    </row>
    <row r="87" hidden="1">
      <c r="A87" s="63"/>
      <c r="B87" s="43"/>
    </row>
    <row r="88" hidden="1">
      <c r="A88" s="63"/>
      <c r="B88" s="43"/>
    </row>
    <row r="89" hidden="1">
      <c r="A89" s="63"/>
      <c r="B89" s="43"/>
    </row>
    <row r="90" hidden="1">
      <c r="A90" s="63"/>
      <c r="B90" s="43"/>
    </row>
    <row r="91" hidden="1">
      <c r="A91" s="63"/>
      <c r="B91" s="43"/>
    </row>
    <row r="92" hidden="1">
      <c r="A92" s="63"/>
      <c r="B92" s="43"/>
    </row>
    <row r="93" hidden="1">
      <c r="A93" s="63"/>
      <c r="B93" s="43"/>
    </row>
    <row r="94" hidden="1">
      <c r="A94" s="63"/>
      <c r="B94" s="43"/>
    </row>
    <row r="95" hidden="1">
      <c r="A95" s="63"/>
      <c r="B95" s="43"/>
    </row>
    <row r="96" hidden="1">
      <c r="A96" s="63"/>
      <c r="B96" s="43"/>
    </row>
    <row r="97" hidden="1">
      <c r="A97" s="63"/>
      <c r="B97" s="43"/>
    </row>
    <row r="98" hidden="1">
      <c r="A98" s="63"/>
      <c r="B98" s="43"/>
    </row>
    <row r="99" hidden="1">
      <c r="A99" s="63"/>
      <c r="B99" s="43"/>
    </row>
    <row r="100" hidden="1">
      <c r="A100" s="63"/>
      <c r="B100" s="43"/>
    </row>
    <row r="101" hidden="1">
      <c r="A101" s="63"/>
      <c r="B101" s="43"/>
    </row>
    <row r="102" hidden="1">
      <c r="A102" s="63"/>
      <c r="B102" s="43"/>
    </row>
    <row r="103" hidden="1">
      <c r="A103" s="63"/>
      <c r="B103" s="43"/>
    </row>
    <row r="104" hidden="1">
      <c r="A104" s="63"/>
      <c r="B104" s="43"/>
    </row>
    <row r="105" hidden="1">
      <c r="A105" s="63"/>
      <c r="B105" s="43"/>
    </row>
    <row r="106" hidden="1">
      <c r="A106" s="63"/>
      <c r="B106" s="43"/>
    </row>
    <row r="107" hidden="1">
      <c r="A107" s="63"/>
      <c r="B107" s="43"/>
    </row>
    <row r="108" hidden="1">
      <c r="A108" s="63"/>
      <c r="B108" s="43"/>
    </row>
    <row r="109" hidden="1">
      <c r="A109" s="63"/>
      <c r="B109" s="43"/>
    </row>
    <row r="110" hidden="1">
      <c r="A110" s="63"/>
      <c r="B110" s="43"/>
    </row>
    <row r="111" hidden="1">
      <c r="A111" s="63"/>
      <c r="B111" s="43"/>
    </row>
    <row r="112" hidden="1">
      <c r="A112" s="63"/>
      <c r="B112" s="43"/>
    </row>
    <row r="113" hidden="1">
      <c r="A113" s="63"/>
      <c r="B113" s="43"/>
    </row>
    <row r="114" hidden="1">
      <c r="A114" s="63"/>
      <c r="B114" s="43"/>
    </row>
    <row r="115" hidden="1">
      <c r="A115" s="63"/>
      <c r="B115" s="43"/>
    </row>
    <row r="116" hidden="1">
      <c r="A116" s="63"/>
      <c r="B116" s="43"/>
    </row>
    <row r="117" hidden="1">
      <c r="A117" s="63"/>
      <c r="B117" s="43"/>
    </row>
    <row r="118" hidden="1">
      <c r="A118" s="63"/>
      <c r="B118" s="43"/>
    </row>
    <row r="119" hidden="1">
      <c r="A119" s="63"/>
      <c r="B119" s="43"/>
    </row>
    <row r="120" hidden="1">
      <c r="A120" s="63"/>
      <c r="B120" s="43"/>
    </row>
    <row r="121" hidden="1">
      <c r="A121" s="63"/>
      <c r="B121" s="43"/>
    </row>
    <row r="122" hidden="1">
      <c r="A122" s="63"/>
      <c r="B122" s="43"/>
    </row>
    <row r="123" hidden="1">
      <c r="A123" s="63"/>
      <c r="B123" s="43"/>
    </row>
    <row r="124" hidden="1">
      <c r="A124" s="63"/>
      <c r="B124" s="43"/>
    </row>
    <row r="125" hidden="1">
      <c r="A125" s="63"/>
      <c r="B125" s="43"/>
    </row>
    <row r="126" hidden="1">
      <c r="A126" s="63"/>
      <c r="B126" s="43"/>
    </row>
    <row r="127" hidden="1">
      <c r="A127" s="63"/>
      <c r="B127" s="43"/>
    </row>
    <row r="128" hidden="1">
      <c r="A128" s="63"/>
      <c r="B128" s="43"/>
    </row>
    <row r="129" hidden="1">
      <c r="A129" s="63"/>
      <c r="B129" s="43"/>
    </row>
    <row r="130" hidden="1">
      <c r="A130" s="63"/>
      <c r="B130" s="43"/>
    </row>
    <row r="131" hidden="1">
      <c r="A131" s="63"/>
      <c r="B131" s="43"/>
    </row>
    <row r="132" hidden="1">
      <c r="A132" s="63"/>
      <c r="B132" s="43"/>
    </row>
    <row r="133" hidden="1">
      <c r="A133" s="63"/>
      <c r="B133" s="43"/>
    </row>
    <row r="134" hidden="1">
      <c r="A134" s="63"/>
      <c r="B134" s="43"/>
    </row>
    <row r="135" hidden="1">
      <c r="A135" s="63"/>
      <c r="B135" s="43"/>
    </row>
    <row r="136" hidden="1">
      <c r="A136" s="63"/>
      <c r="B136" s="43"/>
    </row>
    <row r="137" hidden="1">
      <c r="A137" s="63"/>
      <c r="B137" s="43"/>
    </row>
    <row r="138" hidden="1">
      <c r="A138" s="63"/>
      <c r="B138" s="43"/>
    </row>
    <row r="139" hidden="1">
      <c r="A139" s="63"/>
      <c r="B139" s="43"/>
    </row>
    <row r="140" hidden="1">
      <c r="A140" s="63"/>
      <c r="B140" s="43"/>
    </row>
    <row r="141" hidden="1">
      <c r="A141" s="63"/>
      <c r="B141" s="43"/>
    </row>
    <row r="142" hidden="1">
      <c r="A142" s="63"/>
      <c r="B142" s="43"/>
    </row>
    <row r="143" hidden="1">
      <c r="A143" s="63"/>
      <c r="B143" s="43"/>
    </row>
    <row r="144" hidden="1">
      <c r="A144" s="63"/>
      <c r="B144" s="43"/>
    </row>
    <row r="145" hidden="1">
      <c r="A145" s="63"/>
      <c r="B145" s="43"/>
    </row>
    <row r="146" hidden="1">
      <c r="A146" s="63"/>
      <c r="B146" s="43"/>
    </row>
    <row r="147" hidden="1">
      <c r="A147" s="63"/>
      <c r="B147" s="43"/>
    </row>
    <row r="148" hidden="1">
      <c r="A148" s="63"/>
      <c r="B148" s="43"/>
    </row>
    <row r="149" hidden="1">
      <c r="A149" s="63"/>
      <c r="B149" s="43"/>
    </row>
    <row r="150" hidden="1">
      <c r="A150" s="63"/>
      <c r="B150" s="43"/>
    </row>
    <row r="151" hidden="1">
      <c r="A151" s="63"/>
      <c r="B151" s="43"/>
    </row>
    <row r="152" hidden="1">
      <c r="A152" s="63"/>
      <c r="B152" s="43"/>
    </row>
    <row r="153" hidden="1">
      <c r="A153" s="63"/>
      <c r="B153" s="43"/>
    </row>
    <row r="154" hidden="1">
      <c r="A154" s="63"/>
      <c r="B154" s="43"/>
    </row>
    <row r="155" hidden="1">
      <c r="A155" s="63"/>
      <c r="B155" s="43"/>
    </row>
    <row r="156" hidden="1">
      <c r="A156" s="63"/>
      <c r="B156" s="43"/>
    </row>
    <row r="157" hidden="1">
      <c r="A157" s="63"/>
      <c r="B157" s="43"/>
    </row>
    <row r="158" hidden="1">
      <c r="A158" s="63"/>
      <c r="B158" s="43"/>
    </row>
    <row r="159" hidden="1">
      <c r="A159" s="63"/>
      <c r="B159" s="43"/>
    </row>
    <row r="160" hidden="1">
      <c r="A160" s="63"/>
      <c r="B160" s="43"/>
    </row>
    <row r="161" hidden="1">
      <c r="A161" s="63"/>
      <c r="B161" s="43"/>
    </row>
    <row r="162" hidden="1">
      <c r="A162" s="63"/>
      <c r="B162" s="43"/>
    </row>
    <row r="163" hidden="1">
      <c r="A163" s="63"/>
      <c r="B163" s="43"/>
    </row>
    <row r="164" hidden="1">
      <c r="A164" s="63"/>
      <c r="B164" s="43"/>
    </row>
    <row r="165" hidden="1">
      <c r="A165" s="63"/>
      <c r="B165" s="43"/>
    </row>
    <row r="166" hidden="1">
      <c r="A166" s="63"/>
      <c r="B166" s="43"/>
    </row>
    <row r="167" hidden="1">
      <c r="A167" s="63"/>
      <c r="B167" s="43"/>
    </row>
    <row r="168" hidden="1">
      <c r="A168" s="63"/>
      <c r="B168" s="43"/>
    </row>
    <row r="169" hidden="1">
      <c r="A169" s="63"/>
      <c r="B169" s="43"/>
    </row>
    <row r="170" hidden="1">
      <c r="A170" s="63"/>
      <c r="B170" s="43"/>
    </row>
    <row r="171" hidden="1">
      <c r="A171" s="63"/>
      <c r="B171" s="43"/>
    </row>
    <row r="172" hidden="1">
      <c r="A172" s="63"/>
      <c r="B172" s="43"/>
    </row>
    <row r="173" hidden="1">
      <c r="A173" s="63"/>
      <c r="B173" s="43"/>
    </row>
    <row r="174" hidden="1">
      <c r="A174" s="63"/>
      <c r="B174" s="43"/>
    </row>
    <row r="175" hidden="1">
      <c r="A175" s="63"/>
      <c r="B175" s="43"/>
    </row>
    <row r="176" hidden="1">
      <c r="A176" s="63"/>
      <c r="B176" s="43"/>
    </row>
    <row r="177" hidden="1">
      <c r="A177" s="63"/>
      <c r="B177" s="43"/>
    </row>
    <row r="178" hidden="1">
      <c r="A178" s="63"/>
      <c r="B178" s="43"/>
    </row>
    <row r="179" hidden="1">
      <c r="A179" s="63"/>
      <c r="B179" s="43"/>
    </row>
    <row r="180" hidden="1">
      <c r="A180" s="63"/>
      <c r="B180" s="43"/>
    </row>
    <row r="181" hidden="1">
      <c r="A181" s="63"/>
      <c r="B181" s="43"/>
    </row>
    <row r="182" hidden="1">
      <c r="A182" s="63"/>
      <c r="B182" s="43"/>
    </row>
    <row r="183" hidden="1">
      <c r="A183" s="63"/>
      <c r="B183" s="43"/>
    </row>
    <row r="184" hidden="1">
      <c r="A184" s="63"/>
      <c r="B184" s="43"/>
    </row>
    <row r="185" hidden="1">
      <c r="A185" s="63"/>
      <c r="B185" s="43"/>
    </row>
    <row r="186" hidden="1">
      <c r="A186" s="63"/>
      <c r="B186" s="43"/>
    </row>
    <row r="187" hidden="1">
      <c r="A187" s="63"/>
      <c r="B187" s="43"/>
    </row>
    <row r="188" hidden="1">
      <c r="A188" s="63"/>
      <c r="B188" s="43"/>
    </row>
    <row r="189" hidden="1">
      <c r="A189" s="63"/>
      <c r="B189" s="43"/>
    </row>
    <row r="190" hidden="1">
      <c r="A190" s="63"/>
      <c r="B190" s="43"/>
    </row>
    <row r="191" hidden="1">
      <c r="A191" s="63"/>
      <c r="B191" s="43"/>
    </row>
    <row r="192" hidden="1">
      <c r="A192" s="63"/>
      <c r="B192" s="43"/>
    </row>
    <row r="193" hidden="1">
      <c r="A193" s="63"/>
      <c r="B193" s="43"/>
    </row>
    <row r="194" hidden="1">
      <c r="A194" s="63"/>
      <c r="B194" s="43"/>
    </row>
    <row r="195" hidden="1">
      <c r="A195" s="63"/>
      <c r="B195" s="43"/>
    </row>
    <row r="196" hidden="1">
      <c r="A196" s="63"/>
      <c r="B196" s="43"/>
    </row>
    <row r="197" hidden="1">
      <c r="A197" s="63"/>
      <c r="B197" s="43"/>
    </row>
    <row r="198" hidden="1">
      <c r="A198" s="63"/>
      <c r="B198" s="43"/>
    </row>
    <row r="199" hidden="1">
      <c r="A199" s="63"/>
      <c r="B199" s="43"/>
    </row>
    <row r="200" hidden="1">
      <c r="A200" s="63"/>
      <c r="B200" s="43"/>
    </row>
    <row r="201" hidden="1">
      <c r="A201" s="63"/>
      <c r="B201" s="43"/>
    </row>
    <row r="202" hidden="1">
      <c r="A202" s="63"/>
      <c r="B202" s="43"/>
    </row>
    <row r="203" hidden="1">
      <c r="A203" s="63"/>
      <c r="B203" s="43"/>
    </row>
    <row r="204" hidden="1">
      <c r="A204" s="63"/>
      <c r="B204" s="43"/>
    </row>
    <row r="205" hidden="1">
      <c r="A205" s="63"/>
      <c r="B205" s="43"/>
    </row>
    <row r="206" hidden="1">
      <c r="A206" s="63"/>
      <c r="B206" s="43"/>
    </row>
    <row r="207" hidden="1">
      <c r="A207" s="63"/>
      <c r="B207" s="43"/>
    </row>
    <row r="208" hidden="1">
      <c r="A208" s="63"/>
      <c r="B208" s="43"/>
    </row>
    <row r="209" hidden="1">
      <c r="A209" s="63"/>
      <c r="B209" s="43"/>
    </row>
    <row r="210" hidden="1">
      <c r="A210" s="63"/>
      <c r="B210" s="43"/>
    </row>
    <row r="211" hidden="1">
      <c r="A211" s="63"/>
      <c r="B211" s="43"/>
    </row>
    <row r="212" hidden="1">
      <c r="A212" s="63"/>
      <c r="B212" s="43"/>
    </row>
    <row r="213" hidden="1">
      <c r="A213" s="63"/>
      <c r="B213" s="43"/>
    </row>
    <row r="214" hidden="1">
      <c r="A214" s="63"/>
      <c r="B214" s="43"/>
    </row>
    <row r="215" hidden="1">
      <c r="A215" s="63"/>
      <c r="B215" s="43"/>
    </row>
    <row r="216" hidden="1">
      <c r="A216" s="63"/>
      <c r="B216" s="43"/>
    </row>
    <row r="217" hidden="1">
      <c r="A217" s="63"/>
      <c r="B217" s="43"/>
    </row>
    <row r="218" hidden="1">
      <c r="A218" s="63"/>
      <c r="B218" s="43"/>
    </row>
    <row r="219" hidden="1">
      <c r="A219" s="63"/>
      <c r="B219" s="43"/>
    </row>
    <row r="220" hidden="1">
      <c r="A220" s="63"/>
      <c r="B220" s="43"/>
    </row>
    <row r="221" hidden="1">
      <c r="A221" s="63"/>
      <c r="B221" s="43"/>
    </row>
    <row r="222" hidden="1">
      <c r="A222" s="63"/>
      <c r="B222" s="43"/>
    </row>
    <row r="223" hidden="1">
      <c r="A223" s="63"/>
      <c r="B223" s="43"/>
    </row>
    <row r="224" hidden="1">
      <c r="A224" s="63"/>
      <c r="B224" s="43"/>
    </row>
    <row r="225" hidden="1">
      <c r="A225" s="63"/>
      <c r="B225" s="43"/>
    </row>
    <row r="226" hidden="1">
      <c r="A226" s="63"/>
      <c r="B226" s="43"/>
    </row>
    <row r="227" hidden="1">
      <c r="A227" s="63"/>
      <c r="B227" s="43"/>
    </row>
    <row r="228" hidden="1">
      <c r="A228" s="63"/>
      <c r="B228" s="43"/>
    </row>
    <row r="229" hidden="1">
      <c r="A229" s="63"/>
      <c r="B229" s="43"/>
    </row>
    <row r="230" hidden="1">
      <c r="A230" s="63"/>
      <c r="B230" s="43"/>
    </row>
    <row r="231" hidden="1">
      <c r="A231" s="63"/>
      <c r="B231" s="43"/>
    </row>
    <row r="232" hidden="1">
      <c r="A232" s="63"/>
      <c r="B232" s="43"/>
    </row>
    <row r="233" hidden="1">
      <c r="A233" s="63"/>
      <c r="B233" s="43"/>
    </row>
    <row r="234" hidden="1">
      <c r="A234" s="63"/>
      <c r="B234" s="43"/>
    </row>
    <row r="235" hidden="1">
      <c r="A235" s="63"/>
      <c r="B235" s="43"/>
    </row>
    <row r="236" hidden="1">
      <c r="A236" s="63"/>
      <c r="B236" s="43"/>
    </row>
    <row r="237" hidden="1">
      <c r="A237" s="63"/>
      <c r="B237" s="43"/>
    </row>
    <row r="238" hidden="1">
      <c r="A238" s="63"/>
      <c r="B238" s="43"/>
    </row>
    <row r="239" hidden="1">
      <c r="A239" s="63"/>
      <c r="B239" s="43"/>
    </row>
    <row r="240" hidden="1">
      <c r="A240" s="63"/>
      <c r="B240" s="43"/>
    </row>
    <row r="241" hidden="1">
      <c r="A241" s="63"/>
      <c r="B241" s="43"/>
    </row>
    <row r="242" hidden="1">
      <c r="A242" s="63"/>
      <c r="B242" s="43"/>
    </row>
    <row r="243" hidden="1">
      <c r="A243" s="63"/>
      <c r="B243" s="43"/>
    </row>
    <row r="244" hidden="1">
      <c r="A244" s="63"/>
      <c r="B244" s="43"/>
    </row>
    <row r="245" hidden="1">
      <c r="A245" s="63"/>
      <c r="B245" s="43"/>
    </row>
    <row r="246" hidden="1">
      <c r="A246" s="63"/>
      <c r="B246" s="43"/>
    </row>
    <row r="247" hidden="1">
      <c r="A247" s="63"/>
      <c r="B247" s="43"/>
    </row>
    <row r="248" hidden="1">
      <c r="A248" s="63"/>
      <c r="B248" s="43"/>
    </row>
    <row r="249" hidden="1">
      <c r="A249" s="63"/>
      <c r="B249" s="43"/>
    </row>
    <row r="250" hidden="1">
      <c r="A250" s="63"/>
      <c r="B250" s="43"/>
    </row>
    <row r="251" hidden="1">
      <c r="A251" s="63"/>
      <c r="B251" s="43"/>
    </row>
    <row r="252" hidden="1">
      <c r="A252" s="63"/>
      <c r="B252" s="43"/>
    </row>
    <row r="253" hidden="1">
      <c r="A253" s="63"/>
      <c r="B253" s="43"/>
    </row>
    <row r="254" hidden="1">
      <c r="A254" s="63"/>
      <c r="B254" s="43"/>
    </row>
    <row r="255" hidden="1">
      <c r="A255" s="63"/>
      <c r="B255" s="43"/>
    </row>
    <row r="256" hidden="1">
      <c r="A256" s="63"/>
      <c r="B256" s="43"/>
    </row>
    <row r="257" hidden="1">
      <c r="A257" s="63"/>
      <c r="B257" s="43"/>
    </row>
    <row r="258" hidden="1">
      <c r="A258" s="63"/>
      <c r="B258" s="43"/>
    </row>
    <row r="259" hidden="1">
      <c r="A259" s="63"/>
      <c r="B259" s="43"/>
    </row>
    <row r="260" hidden="1">
      <c r="A260" s="63"/>
      <c r="B260" s="43"/>
    </row>
    <row r="261" hidden="1">
      <c r="A261" s="63"/>
      <c r="B261" s="43"/>
    </row>
    <row r="262" hidden="1">
      <c r="A262" s="63"/>
      <c r="B262" s="43"/>
    </row>
    <row r="263" hidden="1">
      <c r="A263" s="63"/>
      <c r="B263" s="43"/>
    </row>
    <row r="264" hidden="1">
      <c r="A264" s="63"/>
      <c r="B264" s="43"/>
    </row>
    <row r="265" hidden="1">
      <c r="A265" s="63"/>
      <c r="B265" s="43"/>
    </row>
    <row r="266" hidden="1">
      <c r="A266" s="63"/>
      <c r="B266" s="43"/>
    </row>
    <row r="267" hidden="1">
      <c r="A267" s="63"/>
      <c r="B267" s="43"/>
    </row>
    <row r="268" hidden="1">
      <c r="A268" s="63"/>
      <c r="B268" s="43"/>
    </row>
    <row r="269" hidden="1">
      <c r="A269" s="63"/>
      <c r="B269" s="43"/>
    </row>
    <row r="270" hidden="1">
      <c r="A270" s="63"/>
      <c r="B270" s="43"/>
    </row>
    <row r="271" hidden="1">
      <c r="A271" s="63"/>
      <c r="B271" s="43"/>
    </row>
    <row r="272" hidden="1">
      <c r="A272" s="63"/>
      <c r="B272" s="43"/>
    </row>
    <row r="273" hidden="1">
      <c r="A273" s="63"/>
      <c r="B273" s="43"/>
    </row>
    <row r="274" hidden="1">
      <c r="A274" s="63"/>
      <c r="B274" s="43"/>
    </row>
    <row r="275" hidden="1">
      <c r="A275" s="63"/>
      <c r="B275" s="43"/>
    </row>
    <row r="276" hidden="1">
      <c r="A276" s="63"/>
      <c r="B276" s="43"/>
    </row>
    <row r="277" hidden="1">
      <c r="A277" s="63"/>
      <c r="B277" s="43"/>
    </row>
    <row r="278" hidden="1">
      <c r="A278" s="63"/>
      <c r="B278" s="43"/>
    </row>
    <row r="279" hidden="1">
      <c r="A279" s="63"/>
      <c r="B279" s="43"/>
    </row>
    <row r="280" hidden="1">
      <c r="A280" s="63"/>
      <c r="B280" s="43"/>
    </row>
    <row r="281" hidden="1">
      <c r="A281" s="63"/>
      <c r="B281" s="43"/>
    </row>
    <row r="282" hidden="1">
      <c r="A282" s="63"/>
      <c r="B282" s="43"/>
    </row>
    <row r="283" hidden="1">
      <c r="A283" s="63"/>
      <c r="B283" s="43"/>
    </row>
    <row r="284" hidden="1">
      <c r="A284" s="63"/>
      <c r="B284" s="43"/>
    </row>
    <row r="285" hidden="1">
      <c r="A285" s="63"/>
      <c r="B285" s="43"/>
    </row>
    <row r="286" hidden="1">
      <c r="A286" s="63"/>
      <c r="B286" s="43"/>
    </row>
    <row r="287" hidden="1">
      <c r="A287" s="63"/>
      <c r="B287" s="43"/>
    </row>
    <row r="288" hidden="1">
      <c r="A288" s="63"/>
      <c r="B288" s="43"/>
    </row>
    <row r="289" hidden="1">
      <c r="A289" s="63"/>
      <c r="B289" s="43"/>
    </row>
    <row r="290" hidden="1">
      <c r="A290" s="63"/>
      <c r="B290" s="43"/>
    </row>
    <row r="291" hidden="1">
      <c r="A291" s="63"/>
      <c r="B291" s="43"/>
    </row>
    <row r="292" hidden="1">
      <c r="A292" s="63"/>
      <c r="B292" s="43"/>
    </row>
    <row r="293" hidden="1">
      <c r="A293" s="63"/>
      <c r="B293" s="43"/>
    </row>
    <row r="294" hidden="1">
      <c r="A294" s="63"/>
      <c r="B294" s="43"/>
    </row>
    <row r="295" hidden="1">
      <c r="A295" s="63"/>
      <c r="B295" s="43"/>
    </row>
    <row r="296" hidden="1">
      <c r="A296" s="63"/>
      <c r="B296" s="43"/>
    </row>
    <row r="297" hidden="1">
      <c r="A297" s="63"/>
      <c r="B297" s="43"/>
    </row>
    <row r="298" hidden="1">
      <c r="A298" s="63"/>
      <c r="B298" s="43"/>
    </row>
    <row r="299" hidden="1">
      <c r="A299" s="63"/>
      <c r="B299" s="43"/>
    </row>
    <row r="300" hidden="1">
      <c r="A300" s="63"/>
      <c r="B300" s="43"/>
    </row>
    <row r="301" hidden="1">
      <c r="A301" s="63"/>
      <c r="B301" s="43"/>
    </row>
    <row r="302" hidden="1">
      <c r="A302" s="63"/>
      <c r="B302" s="43"/>
    </row>
    <row r="303" hidden="1">
      <c r="A303" s="63"/>
      <c r="B303" s="43"/>
    </row>
    <row r="304" hidden="1">
      <c r="A304" s="63"/>
      <c r="B304" s="43"/>
    </row>
    <row r="305" hidden="1">
      <c r="A305" s="63"/>
      <c r="B305" s="43"/>
    </row>
    <row r="306" hidden="1">
      <c r="A306" s="63"/>
      <c r="B306" s="43"/>
    </row>
    <row r="307" hidden="1">
      <c r="A307" s="63"/>
      <c r="B307" s="43"/>
    </row>
    <row r="308" hidden="1">
      <c r="A308" s="63"/>
      <c r="B308" s="43"/>
    </row>
    <row r="309" hidden="1">
      <c r="A309" s="63"/>
      <c r="B309" s="43"/>
    </row>
    <row r="310" hidden="1">
      <c r="A310" s="63"/>
      <c r="B310" s="43"/>
    </row>
    <row r="311" hidden="1">
      <c r="A311" s="63"/>
      <c r="B311" s="43"/>
    </row>
    <row r="312" hidden="1">
      <c r="A312" s="63"/>
      <c r="B312" s="43"/>
    </row>
    <row r="313" hidden="1">
      <c r="A313" s="63"/>
      <c r="B313" s="43"/>
    </row>
    <row r="314" hidden="1">
      <c r="A314" s="63"/>
      <c r="B314" s="43"/>
    </row>
    <row r="315" hidden="1">
      <c r="A315" s="63"/>
      <c r="B315" s="43"/>
    </row>
    <row r="316" hidden="1">
      <c r="A316" s="63"/>
      <c r="B316" s="43"/>
    </row>
    <row r="317" hidden="1">
      <c r="A317" s="63"/>
      <c r="B317" s="43"/>
    </row>
    <row r="318" hidden="1">
      <c r="A318" s="63"/>
      <c r="B318" s="43"/>
    </row>
    <row r="319" hidden="1">
      <c r="A319" s="63"/>
      <c r="B319" s="43"/>
    </row>
    <row r="320" hidden="1">
      <c r="A320" s="63"/>
      <c r="B320" s="43"/>
    </row>
    <row r="321" hidden="1">
      <c r="A321" s="63"/>
      <c r="B321" s="43"/>
    </row>
    <row r="322" hidden="1">
      <c r="A322" s="63"/>
      <c r="B322" s="43"/>
    </row>
    <row r="323" hidden="1">
      <c r="A323" s="63"/>
      <c r="B323" s="43"/>
    </row>
    <row r="324" hidden="1">
      <c r="A324" s="63"/>
      <c r="B324" s="43"/>
    </row>
    <row r="325" hidden="1">
      <c r="A325" s="63"/>
      <c r="B325" s="43"/>
    </row>
    <row r="326" hidden="1">
      <c r="A326" s="63"/>
      <c r="B326" s="43"/>
    </row>
    <row r="327" hidden="1">
      <c r="A327" s="63"/>
      <c r="B327" s="43"/>
    </row>
    <row r="328" hidden="1">
      <c r="A328" s="63"/>
      <c r="B328" s="43"/>
    </row>
    <row r="329" hidden="1">
      <c r="A329" s="63"/>
      <c r="B329" s="43"/>
    </row>
    <row r="330" hidden="1">
      <c r="A330" s="63"/>
      <c r="B330" s="43"/>
    </row>
    <row r="331" hidden="1">
      <c r="A331" s="63"/>
      <c r="B331" s="43"/>
    </row>
    <row r="332" hidden="1">
      <c r="A332" s="63"/>
      <c r="B332" s="43"/>
    </row>
    <row r="333" hidden="1">
      <c r="A333" s="63"/>
      <c r="B333" s="43"/>
    </row>
    <row r="334" hidden="1">
      <c r="A334" s="63"/>
      <c r="B334" s="43"/>
    </row>
    <row r="335" hidden="1">
      <c r="A335" s="63"/>
      <c r="B335" s="43"/>
    </row>
    <row r="336" hidden="1">
      <c r="A336" s="63"/>
      <c r="B336" s="43"/>
    </row>
    <row r="337" hidden="1">
      <c r="A337" s="63"/>
      <c r="B337" s="43"/>
    </row>
    <row r="338" hidden="1">
      <c r="A338" s="63"/>
      <c r="B338" s="43"/>
    </row>
    <row r="339" hidden="1">
      <c r="A339" s="63"/>
      <c r="B339" s="43"/>
    </row>
    <row r="340" hidden="1">
      <c r="A340" s="63"/>
      <c r="B340" s="43"/>
    </row>
    <row r="341" hidden="1">
      <c r="A341" s="63"/>
      <c r="B341" s="43"/>
    </row>
    <row r="342" hidden="1">
      <c r="A342" s="63"/>
      <c r="B342" s="43"/>
    </row>
    <row r="343" hidden="1">
      <c r="A343" s="63"/>
      <c r="B343" s="43"/>
    </row>
    <row r="344" hidden="1">
      <c r="A344" s="63"/>
      <c r="B344" s="43"/>
    </row>
    <row r="345" hidden="1">
      <c r="A345" s="63"/>
      <c r="B345" s="43"/>
    </row>
    <row r="346" hidden="1">
      <c r="A346" s="63"/>
      <c r="B346" s="43"/>
    </row>
    <row r="347" hidden="1">
      <c r="A347" s="63"/>
      <c r="B347" s="43"/>
    </row>
    <row r="348" hidden="1">
      <c r="A348" s="63"/>
      <c r="B348" s="43"/>
    </row>
    <row r="349" hidden="1">
      <c r="A349" s="63"/>
      <c r="B349" s="43"/>
    </row>
    <row r="350" hidden="1">
      <c r="A350" s="63"/>
      <c r="B350" s="43"/>
    </row>
    <row r="351" hidden="1">
      <c r="A351" s="63"/>
      <c r="B351" s="43"/>
    </row>
    <row r="352" hidden="1">
      <c r="A352" s="63"/>
      <c r="B352" s="43"/>
    </row>
    <row r="353" hidden="1">
      <c r="A353" s="63"/>
      <c r="B353" s="43"/>
    </row>
    <row r="354" hidden="1">
      <c r="A354" s="63"/>
      <c r="B354" s="43"/>
    </row>
    <row r="355" hidden="1">
      <c r="A355" s="63"/>
      <c r="B355" s="43"/>
    </row>
    <row r="356" hidden="1">
      <c r="A356" s="63"/>
      <c r="B356" s="43"/>
    </row>
    <row r="357" hidden="1">
      <c r="A357" s="63"/>
      <c r="B357" s="43"/>
    </row>
    <row r="358" hidden="1">
      <c r="A358" s="63"/>
      <c r="B358" s="43"/>
    </row>
    <row r="359" hidden="1">
      <c r="A359" s="63"/>
      <c r="B359" s="43"/>
    </row>
    <row r="360" hidden="1">
      <c r="A360" s="63"/>
      <c r="B360" s="43"/>
    </row>
    <row r="361" hidden="1">
      <c r="A361" s="63"/>
      <c r="B361" s="43"/>
    </row>
    <row r="362" hidden="1">
      <c r="A362" s="63"/>
      <c r="B362" s="43"/>
    </row>
    <row r="363" hidden="1">
      <c r="A363" s="63"/>
      <c r="B363" s="43"/>
    </row>
    <row r="364" hidden="1">
      <c r="A364" s="63"/>
      <c r="B364" s="43"/>
    </row>
    <row r="365" hidden="1">
      <c r="A365" s="63"/>
      <c r="B365" s="43"/>
    </row>
    <row r="366" hidden="1">
      <c r="A366" s="63"/>
      <c r="B366" s="43"/>
    </row>
    <row r="367" hidden="1">
      <c r="A367" s="63"/>
      <c r="B367" s="43"/>
    </row>
    <row r="368" hidden="1">
      <c r="A368" s="63"/>
      <c r="B368" s="43"/>
    </row>
    <row r="369" hidden="1">
      <c r="A369" s="63"/>
      <c r="B369" s="43"/>
    </row>
    <row r="370" hidden="1">
      <c r="A370" s="63"/>
      <c r="B370" s="43"/>
    </row>
    <row r="371" hidden="1">
      <c r="A371" s="63"/>
      <c r="B371" s="43"/>
    </row>
    <row r="372" hidden="1">
      <c r="A372" s="63"/>
      <c r="B372" s="43"/>
    </row>
    <row r="373" hidden="1">
      <c r="A373" s="63"/>
      <c r="B373" s="43"/>
    </row>
    <row r="374" hidden="1">
      <c r="A374" s="63"/>
      <c r="B374" s="43"/>
    </row>
    <row r="375" hidden="1">
      <c r="A375" s="63"/>
      <c r="B375" s="43"/>
    </row>
    <row r="376" hidden="1">
      <c r="A376" s="63"/>
      <c r="B376" s="43"/>
    </row>
    <row r="377" hidden="1">
      <c r="A377" s="63"/>
      <c r="B377" s="43"/>
    </row>
    <row r="378" hidden="1">
      <c r="A378" s="63"/>
      <c r="B378" s="43"/>
    </row>
    <row r="379" hidden="1">
      <c r="A379" s="63"/>
      <c r="B379" s="43"/>
    </row>
    <row r="380" hidden="1">
      <c r="A380" s="63"/>
      <c r="B380" s="43"/>
    </row>
    <row r="381" hidden="1">
      <c r="A381" s="63"/>
      <c r="B381" s="43"/>
    </row>
    <row r="382" hidden="1">
      <c r="A382" s="63"/>
      <c r="B382" s="43"/>
    </row>
    <row r="383" hidden="1">
      <c r="A383" s="63"/>
      <c r="B383" s="43"/>
    </row>
    <row r="384" hidden="1">
      <c r="A384" s="63"/>
      <c r="B384" s="43"/>
    </row>
    <row r="385" hidden="1">
      <c r="A385" s="63"/>
      <c r="B385" s="43"/>
    </row>
    <row r="386" hidden="1">
      <c r="A386" s="63"/>
      <c r="B386" s="43"/>
    </row>
    <row r="387" hidden="1">
      <c r="A387" s="63"/>
      <c r="B387" s="43"/>
    </row>
    <row r="388" hidden="1">
      <c r="A388" s="63"/>
      <c r="B388" s="43"/>
    </row>
    <row r="389" hidden="1">
      <c r="A389" s="63"/>
      <c r="B389" s="43"/>
    </row>
    <row r="390" hidden="1">
      <c r="A390" s="63"/>
      <c r="B390" s="43"/>
    </row>
    <row r="391" hidden="1">
      <c r="A391" s="63"/>
      <c r="B391" s="43"/>
    </row>
    <row r="392" hidden="1">
      <c r="A392" s="63"/>
      <c r="B392" s="43"/>
    </row>
    <row r="393" hidden="1">
      <c r="A393" s="63"/>
      <c r="B393" s="43"/>
    </row>
    <row r="394" hidden="1">
      <c r="A394" s="63"/>
      <c r="B394" s="43"/>
    </row>
    <row r="395" hidden="1">
      <c r="A395" s="63"/>
      <c r="B395" s="43"/>
    </row>
    <row r="396" hidden="1">
      <c r="A396" s="63"/>
      <c r="B396" s="43"/>
    </row>
    <row r="397" hidden="1">
      <c r="A397" s="63"/>
      <c r="B397" s="43"/>
    </row>
    <row r="398" hidden="1">
      <c r="A398" s="63"/>
      <c r="B398" s="43"/>
    </row>
    <row r="399" hidden="1">
      <c r="A399" s="63"/>
      <c r="B399" s="43"/>
    </row>
    <row r="400" hidden="1">
      <c r="A400" s="63"/>
      <c r="B400" s="43"/>
    </row>
    <row r="401" hidden="1">
      <c r="A401" s="63"/>
      <c r="B401" s="43"/>
    </row>
    <row r="402" hidden="1">
      <c r="A402" s="63"/>
      <c r="B402" s="43"/>
    </row>
    <row r="403" hidden="1">
      <c r="A403" s="63"/>
      <c r="B403" s="43"/>
    </row>
    <row r="404" hidden="1">
      <c r="A404" s="63"/>
      <c r="B404" s="43"/>
    </row>
    <row r="405" hidden="1">
      <c r="A405" s="63"/>
      <c r="B405" s="43"/>
    </row>
    <row r="406" hidden="1">
      <c r="A406" s="63"/>
      <c r="B406" s="43"/>
    </row>
    <row r="407" hidden="1">
      <c r="A407" s="63"/>
      <c r="B407" s="43"/>
    </row>
    <row r="408" hidden="1">
      <c r="A408" s="63"/>
      <c r="B408" s="43"/>
    </row>
    <row r="409" hidden="1">
      <c r="A409" s="63"/>
      <c r="B409" s="43"/>
    </row>
    <row r="410" hidden="1">
      <c r="A410" s="63"/>
      <c r="B410" s="43"/>
    </row>
    <row r="411" hidden="1">
      <c r="A411" s="63"/>
      <c r="B411" s="43"/>
    </row>
    <row r="412" hidden="1">
      <c r="A412" s="63"/>
      <c r="B412" s="43"/>
    </row>
    <row r="413" hidden="1">
      <c r="A413" s="63"/>
      <c r="B413" s="43"/>
    </row>
    <row r="414" hidden="1">
      <c r="A414" s="63"/>
      <c r="B414" s="43"/>
    </row>
    <row r="415" hidden="1">
      <c r="A415" s="63"/>
      <c r="B415" s="43"/>
    </row>
    <row r="416" hidden="1">
      <c r="A416" s="63"/>
      <c r="B416" s="43"/>
    </row>
    <row r="417" hidden="1">
      <c r="A417" s="63"/>
      <c r="B417" s="43"/>
    </row>
    <row r="418" hidden="1">
      <c r="A418" s="63"/>
      <c r="B418" s="43"/>
    </row>
    <row r="419" hidden="1">
      <c r="A419" s="63"/>
      <c r="B419" s="43"/>
    </row>
    <row r="420" hidden="1">
      <c r="A420" s="63"/>
      <c r="B420" s="43"/>
    </row>
    <row r="421" hidden="1">
      <c r="A421" s="63"/>
      <c r="B421" s="43"/>
    </row>
    <row r="422" hidden="1">
      <c r="A422" s="63"/>
      <c r="B422" s="43"/>
    </row>
    <row r="423" hidden="1">
      <c r="A423" s="63"/>
      <c r="B423" s="43"/>
    </row>
    <row r="424" hidden="1">
      <c r="A424" s="63"/>
      <c r="B424" s="43"/>
    </row>
    <row r="425" hidden="1">
      <c r="A425" s="63"/>
      <c r="B425" s="43"/>
    </row>
    <row r="426" hidden="1">
      <c r="A426" s="63"/>
      <c r="B426" s="43"/>
    </row>
    <row r="427" hidden="1">
      <c r="A427" s="63"/>
      <c r="B427" s="43"/>
    </row>
    <row r="428" hidden="1">
      <c r="A428" s="63"/>
      <c r="B428" s="43"/>
    </row>
    <row r="429" hidden="1">
      <c r="A429" s="63"/>
      <c r="B429" s="43"/>
    </row>
    <row r="430" hidden="1">
      <c r="A430" s="63"/>
      <c r="B430" s="43"/>
    </row>
    <row r="431" hidden="1">
      <c r="A431" s="63"/>
      <c r="B431" s="43"/>
    </row>
    <row r="432" hidden="1">
      <c r="A432" s="63"/>
      <c r="B432" s="43"/>
    </row>
    <row r="433" hidden="1">
      <c r="A433" s="63"/>
      <c r="B433" s="43"/>
    </row>
    <row r="434" hidden="1">
      <c r="A434" s="63"/>
      <c r="B434" s="43"/>
    </row>
    <row r="435" hidden="1">
      <c r="A435" s="63"/>
      <c r="B435" s="43"/>
    </row>
    <row r="436" hidden="1">
      <c r="A436" s="63"/>
      <c r="B436" s="43"/>
    </row>
    <row r="437" hidden="1">
      <c r="A437" s="63"/>
      <c r="B437" s="43"/>
    </row>
    <row r="438" hidden="1">
      <c r="A438" s="63"/>
      <c r="B438" s="43"/>
    </row>
    <row r="439" hidden="1">
      <c r="A439" s="63"/>
      <c r="B439" s="43"/>
    </row>
    <row r="440" hidden="1">
      <c r="A440" s="63"/>
      <c r="B440" s="43"/>
    </row>
    <row r="441" hidden="1">
      <c r="A441" s="63"/>
      <c r="B441" s="43"/>
    </row>
    <row r="442" hidden="1">
      <c r="A442" s="63"/>
      <c r="B442" s="43"/>
    </row>
    <row r="443" hidden="1">
      <c r="A443" s="63"/>
      <c r="B443" s="43"/>
    </row>
    <row r="444" hidden="1">
      <c r="A444" s="63"/>
      <c r="B444" s="43"/>
    </row>
    <row r="445" hidden="1">
      <c r="A445" s="63"/>
      <c r="B445" s="43"/>
    </row>
    <row r="446" hidden="1">
      <c r="A446" s="63"/>
      <c r="B446" s="43"/>
    </row>
    <row r="447" hidden="1">
      <c r="A447" s="63"/>
      <c r="B447" s="43"/>
    </row>
    <row r="448" hidden="1">
      <c r="A448" s="63"/>
      <c r="B448" s="43"/>
    </row>
    <row r="449" hidden="1">
      <c r="A449" s="63"/>
      <c r="B449" s="43"/>
    </row>
    <row r="450" hidden="1">
      <c r="A450" s="63"/>
      <c r="B450" s="43"/>
    </row>
    <row r="451" hidden="1">
      <c r="A451" s="63"/>
      <c r="B451" s="43"/>
    </row>
    <row r="452" hidden="1">
      <c r="A452" s="63"/>
      <c r="B452" s="43"/>
    </row>
    <row r="453" hidden="1">
      <c r="A453" s="63"/>
      <c r="B453" s="43"/>
    </row>
    <row r="454" hidden="1">
      <c r="A454" s="63"/>
      <c r="B454" s="43"/>
    </row>
    <row r="455" hidden="1">
      <c r="A455" s="63"/>
      <c r="B455" s="43"/>
    </row>
    <row r="456" hidden="1">
      <c r="A456" s="63"/>
      <c r="B456" s="43"/>
    </row>
    <row r="457" hidden="1">
      <c r="A457" s="63"/>
      <c r="B457" s="43"/>
    </row>
    <row r="458" hidden="1">
      <c r="A458" s="63"/>
      <c r="B458" s="43"/>
    </row>
    <row r="459" hidden="1">
      <c r="A459" s="63"/>
      <c r="B459" s="43"/>
    </row>
    <row r="460" hidden="1">
      <c r="A460" s="63"/>
      <c r="B460" s="43"/>
    </row>
    <row r="461" hidden="1">
      <c r="A461" s="63"/>
      <c r="B461" s="43"/>
    </row>
    <row r="462" hidden="1">
      <c r="A462" s="63"/>
      <c r="B462" s="43"/>
    </row>
    <row r="463" hidden="1">
      <c r="A463" s="63"/>
      <c r="B463" s="43"/>
    </row>
    <row r="464" hidden="1">
      <c r="A464" s="63"/>
      <c r="B464" s="43"/>
    </row>
    <row r="465" hidden="1">
      <c r="A465" s="63"/>
      <c r="B465" s="43"/>
    </row>
    <row r="466" hidden="1">
      <c r="A466" s="63"/>
      <c r="B466" s="43"/>
    </row>
    <row r="467" hidden="1">
      <c r="A467" s="63"/>
      <c r="B467" s="43"/>
    </row>
    <row r="468" hidden="1">
      <c r="A468" s="63"/>
      <c r="B468" s="43"/>
    </row>
    <row r="469" hidden="1">
      <c r="A469" s="63"/>
      <c r="B469" s="43"/>
    </row>
    <row r="470" hidden="1">
      <c r="A470" s="63"/>
      <c r="B470" s="43"/>
    </row>
    <row r="471" hidden="1">
      <c r="A471" s="63"/>
      <c r="B471" s="43"/>
    </row>
    <row r="472" hidden="1">
      <c r="A472" s="63"/>
      <c r="B472" s="43"/>
    </row>
    <row r="473" hidden="1">
      <c r="A473" s="63"/>
      <c r="B473" s="43"/>
    </row>
    <row r="474" hidden="1">
      <c r="A474" s="63"/>
      <c r="B474" s="43"/>
    </row>
    <row r="475" hidden="1">
      <c r="A475" s="63"/>
      <c r="B475" s="43"/>
    </row>
    <row r="476" hidden="1">
      <c r="A476" s="63"/>
      <c r="B476" s="43"/>
    </row>
    <row r="477" hidden="1">
      <c r="A477" s="63"/>
      <c r="B477" s="43"/>
    </row>
    <row r="478" hidden="1">
      <c r="A478" s="63"/>
      <c r="B478" s="43"/>
    </row>
    <row r="479" hidden="1">
      <c r="A479" s="63"/>
      <c r="B479" s="43"/>
    </row>
    <row r="480" hidden="1">
      <c r="A480" s="63"/>
      <c r="B480" s="43"/>
    </row>
    <row r="481" hidden="1">
      <c r="A481" s="63"/>
      <c r="B481" s="43"/>
    </row>
    <row r="482" hidden="1">
      <c r="A482" s="63"/>
      <c r="B482" s="43"/>
    </row>
    <row r="483" hidden="1">
      <c r="A483" s="63"/>
      <c r="B483" s="43"/>
    </row>
    <row r="484" hidden="1">
      <c r="A484" s="63"/>
      <c r="B484" s="43"/>
    </row>
    <row r="485" hidden="1">
      <c r="A485" s="63"/>
      <c r="B485" s="43"/>
    </row>
    <row r="486" hidden="1">
      <c r="A486" s="63"/>
      <c r="B486" s="43"/>
    </row>
    <row r="487" hidden="1">
      <c r="A487" s="63"/>
      <c r="B487" s="43"/>
    </row>
    <row r="488" hidden="1">
      <c r="A488" s="63"/>
      <c r="B488" s="43"/>
    </row>
    <row r="489" hidden="1">
      <c r="A489" s="63"/>
      <c r="B489" s="43"/>
    </row>
    <row r="490" hidden="1">
      <c r="A490" s="63"/>
      <c r="B490" s="43"/>
    </row>
    <row r="491" hidden="1">
      <c r="A491" s="63"/>
      <c r="B491" s="43"/>
    </row>
    <row r="492" hidden="1">
      <c r="A492" s="63"/>
      <c r="B492" s="43"/>
    </row>
    <row r="493" hidden="1">
      <c r="A493" s="63"/>
      <c r="B493" s="43"/>
    </row>
    <row r="494" hidden="1">
      <c r="A494" s="63"/>
      <c r="B494" s="43"/>
    </row>
    <row r="495" hidden="1">
      <c r="A495" s="63"/>
      <c r="B495" s="43"/>
    </row>
    <row r="496" hidden="1">
      <c r="A496" s="63"/>
      <c r="B496" s="43"/>
    </row>
    <row r="497" hidden="1">
      <c r="A497" s="63"/>
      <c r="B497" s="43"/>
    </row>
    <row r="498" hidden="1">
      <c r="A498" s="63"/>
      <c r="B498" s="43"/>
    </row>
    <row r="499" hidden="1">
      <c r="A499" s="63"/>
      <c r="B499" s="43"/>
    </row>
    <row r="500" hidden="1">
      <c r="A500" s="63"/>
      <c r="B500" s="43"/>
    </row>
    <row r="501" hidden="1">
      <c r="A501" s="63"/>
      <c r="B501" s="43"/>
    </row>
    <row r="502" hidden="1">
      <c r="A502" s="63"/>
      <c r="B502" s="43"/>
    </row>
    <row r="503" hidden="1">
      <c r="A503" s="63"/>
      <c r="B503" s="43"/>
    </row>
    <row r="504" hidden="1">
      <c r="A504" s="63"/>
      <c r="B504" s="43"/>
    </row>
    <row r="505" hidden="1">
      <c r="A505" s="63"/>
      <c r="B505" s="43"/>
    </row>
    <row r="506" hidden="1">
      <c r="A506" s="63"/>
      <c r="B506" s="43"/>
    </row>
    <row r="507" hidden="1">
      <c r="A507" s="63"/>
      <c r="B507" s="43"/>
    </row>
    <row r="508" hidden="1">
      <c r="A508" s="63"/>
      <c r="B508" s="43"/>
    </row>
    <row r="509" hidden="1">
      <c r="A509" s="63"/>
      <c r="B509" s="43"/>
    </row>
    <row r="510" hidden="1">
      <c r="A510" s="63"/>
      <c r="B510" s="43"/>
    </row>
    <row r="511" hidden="1">
      <c r="A511" s="63"/>
      <c r="B511" s="43"/>
    </row>
    <row r="512" hidden="1">
      <c r="A512" s="63"/>
      <c r="B512" s="43"/>
    </row>
    <row r="513" hidden="1">
      <c r="A513" s="63"/>
      <c r="B513" s="43"/>
    </row>
    <row r="514" hidden="1">
      <c r="A514" s="63"/>
      <c r="B514" s="43"/>
    </row>
    <row r="515" hidden="1">
      <c r="A515" s="63"/>
      <c r="B515" s="43"/>
    </row>
    <row r="516" hidden="1">
      <c r="A516" s="63"/>
      <c r="B516" s="43"/>
    </row>
    <row r="517" hidden="1">
      <c r="A517" s="63"/>
      <c r="B517" s="43"/>
    </row>
    <row r="518" hidden="1">
      <c r="A518" s="63"/>
      <c r="B518" s="43"/>
    </row>
    <row r="519" hidden="1">
      <c r="A519" s="63"/>
      <c r="B519" s="43"/>
    </row>
    <row r="520" hidden="1">
      <c r="A520" s="63"/>
      <c r="B520" s="43"/>
    </row>
    <row r="521" hidden="1">
      <c r="A521" s="63"/>
      <c r="B521" s="43"/>
    </row>
    <row r="522" hidden="1">
      <c r="A522" s="63"/>
      <c r="B522" s="43"/>
    </row>
    <row r="523" hidden="1">
      <c r="A523" s="63"/>
      <c r="B523" s="43"/>
    </row>
    <row r="524" hidden="1">
      <c r="A524" s="63"/>
      <c r="B524" s="43"/>
    </row>
    <row r="525" hidden="1">
      <c r="A525" s="63"/>
      <c r="B525" s="43"/>
    </row>
    <row r="526" hidden="1">
      <c r="A526" s="63"/>
      <c r="B526" s="43"/>
    </row>
    <row r="527" hidden="1">
      <c r="A527" s="63"/>
      <c r="B527" s="43"/>
    </row>
    <row r="528" hidden="1">
      <c r="A528" s="63"/>
      <c r="B528" s="43"/>
    </row>
    <row r="529" hidden="1">
      <c r="A529" s="63"/>
      <c r="B529" s="43"/>
    </row>
    <row r="530" hidden="1">
      <c r="A530" s="63"/>
      <c r="B530" s="43"/>
    </row>
    <row r="531" hidden="1">
      <c r="A531" s="63"/>
      <c r="B531" s="43"/>
    </row>
    <row r="532" hidden="1">
      <c r="A532" s="63"/>
      <c r="B532" s="43"/>
    </row>
    <row r="533" hidden="1">
      <c r="A533" s="63"/>
      <c r="B533" s="43"/>
    </row>
    <row r="534" hidden="1">
      <c r="A534" s="63"/>
      <c r="B534" s="43"/>
    </row>
    <row r="535" hidden="1">
      <c r="A535" s="63"/>
      <c r="B535" s="43"/>
    </row>
    <row r="536" hidden="1">
      <c r="A536" s="63"/>
      <c r="B536" s="43"/>
    </row>
    <row r="537" hidden="1">
      <c r="A537" s="63"/>
      <c r="B537" s="43"/>
    </row>
    <row r="538" hidden="1">
      <c r="A538" s="63"/>
      <c r="B538" s="43"/>
    </row>
    <row r="539" hidden="1">
      <c r="A539" s="63"/>
      <c r="B539" s="43"/>
    </row>
    <row r="540" hidden="1">
      <c r="A540" s="63"/>
      <c r="B540" s="43"/>
    </row>
    <row r="541" hidden="1">
      <c r="A541" s="63"/>
      <c r="B541" s="43"/>
    </row>
    <row r="542" hidden="1">
      <c r="A542" s="63"/>
      <c r="B542" s="43"/>
    </row>
    <row r="543" hidden="1">
      <c r="A543" s="63"/>
      <c r="B543" s="43"/>
    </row>
    <row r="544" hidden="1">
      <c r="A544" s="63"/>
      <c r="B544" s="43"/>
    </row>
    <row r="545" hidden="1">
      <c r="A545" s="63"/>
      <c r="B545" s="43"/>
    </row>
    <row r="546" hidden="1">
      <c r="A546" s="63"/>
      <c r="B546" s="43"/>
    </row>
    <row r="547" hidden="1">
      <c r="A547" s="63"/>
      <c r="B547" s="43"/>
    </row>
    <row r="548" hidden="1">
      <c r="A548" s="63"/>
      <c r="B548" s="43"/>
    </row>
    <row r="549" hidden="1">
      <c r="A549" s="63"/>
      <c r="B549" s="43"/>
    </row>
    <row r="550" hidden="1">
      <c r="A550" s="63"/>
      <c r="B550" s="43"/>
    </row>
    <row r="551" hidden="1">
      <c r="A551" s="63"/>
      <c r="B551" s="43"/>
    </row>
    <row r="552" hidden="1">
      <c r="A552" s="63"/>
      <c r="B552" s="43"/>
    </row>
    <row r="553" hidden="1">
      <c r="A553" s="63"/>
      <c r="B553" s="43"/>
    </row>
    <row r="554" hidden="1">
      <c r="A554" s="63"/>
      <c r="B554" s="43"/>
    </row>
    <row r="555" hidden="1">
      <c r="A555" s="63"/>
      <c r="B555" s="43"/>
    </row>
    <row r="556" hidden="1">
      <c r="A556" s="63"/>
      <c r="B556" s="43"/>
    </row>
    <row r="557" hidden="1">
      <c r="A557" s="63"/>
      <c r="B557" s="43"/>
    </row>
    <row r="558" hidden="1">
      <c r="A558" s="63"/>
      <c r="B558" s="43"/>
    </row>
    <row r="559" hidden="1">
      <c r="A559" s="63"/>
      <c r="B559" s="43"/>
    </row>
    <row r="560" hidden="1">
      <c r="A560" s="63"/>
      <c r="B560" s="43"/>
    </row>
    <row r="561" hidden="1">
      <c r="A561" s="63"/>
      <c r="B561" s="43"/>
    </row>
    <row r="562" hidden="1">
      <c r="A562" s="63"/>
      <c r="B562" s="43"/>
    </row>
    <row r="563" hidden="1">
      <c r="A563" s="63"/>
      <c r="B563" s="43"/>
    </row>
    <row r="564" hidden="1">
      <c r="A564" s="63"/>
      <c r="B564" s="43"/>
    </row>
    <row r="565" hidden="1">
      <c r="A565" s="63"/>
      <c r="B565" s="43"/>
    </row>
    <row r="566" hidden="1">
      <c r="A566" s="63"/>
      <c r="B566" s="43"/>
    </row>
    <row r="567" hidden="1">
      <c r="A567" s="63"/>
      <c r="B567" s="43"/>
    </row>
    <row r="568" hidden="1">
      <c r="A568" s="63"/>
      <c r="B568" s="43"/>
    </row>
    <row r="569" hidden="1">
      <c r="A569" s="63"/>
      <c r="B569" s="43"/>
    </row>
    <row r="570" hidden="1">
      <c r="A570" s="63"/>
      <c r="B570" s="43"/>
    </row>
    <row r="571" hidden="1">
      <c r="A571" s="63"/>
      <c r="B571" s="43"/>
    </row>
    <row r="572" hidden="1">
      <c r="A572" s="63"/>
      <c r="B572" s="43"/>
    </row>
    <row r="573" hidden="1">
      <c r="A573" s="63"/>
      <c r="B573" s="43"/>
    </row>
    <row r="574" hidden="1">
      <c r="A574" s="63"/>
      <c r="B574" s="43"/>
    </row>
    <row r="575" hidden="1">
      <c r="A575" s="63"/>
      <c r="B575" s="43"/>
    </row>
    <row r="576" hidden="1">
      <c r="A576" s="63"/>
      <c r="B576" s="43"/>
    </row>
    <row r="577" hidden="1">
      <c r="A577" s="63"/>
      <c r="B577" s="43"/>
    </row>
    <row r="578" hidden="1">
      <c r="A578" s="63"/>
      <c r="B578" s="43"/>
    </row>
    <row r="579" hidden="1">
      <c r="A579" s="63"/>
      <c r="B579" s="43"/>
    </row>
    <row r="580" hidden="1">
      <c r="A580" s="63"/>
      <c r="B580" s="43"/>
    </row>
    <row r="581" hidden="1">
      <c r="A581" s="63"/>
      <c r="B581" s="43"/>
    </row>
    <row r="582" hidden="1">
      <c r="A582" s="63"/>
      <c r="B582" s="43"/>
    </row>
    <row r="583" hidden="1">
      <c r="A583" s="63"/>
      <c r="B583" s="43"/>
    </row>
    <row r="584" hidden="1">
      <c r="A584" s="63"/>
      <c r="B584" s="43"/>
    </row>
    <row r="585" hidden="1">
      <c r="A585" s="63"/>
      <c r="B585" s="43"/>
    </row>
    <row r="586" hidden="1">
      <c r="A586" s="63"/>
      <c r="B586" s="43"/>
    </row>
    <row r="587" hidden="1">
      <c r="A587" s="63"/>
      <c r="B587" s="43"/>
    </row>
    <row r="588" hidden="1">
      <c r="A588" s="63"/>
      <c r="B588" s="43"/>
    </row>
    <row r="589" hidden="1">
      <c r="A589" s="63"/>
      <c r="B589" s="43"/>
    </row>
    <row r="590" hidden="1">
      <c r="A590" s="63"/>
      <c r="B590" s="43"/>
    </row>
    <row r="591" hidden="1">
      <c r="A591" s="63"/>
      <c r="B591" s="43"/>
    </row>
    <row r="592" hidden="1">
      <c r="A592" s="63"/>
      <c r="B592" s="43"/>
    </row>
    <row r="593" hidden="1">
      <c r="A593" s="63"/>
      <c r="B593" s="43"/>
    </row>
    <row r="594" hidden="1">
      <c r="A594" s="63"/>
      <c r="B594" s="43"/>
    </row>
    <row r="595" hidden="1">
      <c r="A595" s="63"/>
      <c r="B595" s="43"/>
    </row>
    <row r="596" hidden="1">
      <c r="A596" s="63"/>
      <c r="B596" s="43"/>
    </row>
    <row r="597" hidden="1">
      <c r="A597" s="63"/>
      <c r="B597" s="43"/>
    </row>
    <row r="598" hidden="1">
      <c r="A598" s="63"/>
      <c r="B598" s="43"/>
    </row>
    <row r="599" hidden="1">
      <c r="A599" s="63"/>
      <c r="B599" s="43"/>
    </row>
    <row r="600" hidden="1">
      <c r="A600" s="63"/>
      <c r="B600" s="43"/>
    </row>
    <row r="601" hidden="1">
      <c r="A601" s="63"/>
      <c r="B601" s="43"/>
    </row>
    <row r="602" hidden="1">
      <c r="A602" s="63"/>
      <c r="B602" s="43"/>
    </row>
    <row r="603" hidden="1">
      <c r="A603" s="63"/>
      <c r="B603" s="43"/>
    </row>
    <row r="604" hidden="1">
      <c r="A604" s="63"/>
      <c r="B604" s="43"/>
    </row>
    <row r="605" hidden="1">
      <c r="A605" s="63"/>
      <c r="B605" s="43"/>
    </row>
    <row r="606" hidden="1">
      <c r="A606" s="63"/>
      <c r="B606" s="43"/>
    </row>
    <row r="607" hidden="1">
      <c r="A607" s="63"/>
      <c r="B607" s="43"/>
    </row>
    <row r="608" hidden="1">
      <c r="A608" s="63"/>
      <c r="B608" s="43"/>
    </row>
    <row r="609" hidden="1">
      <c r="A609" s="63"/>
      <c r="B609" s="43"/>
    </row>
    <row r="610" hidden="1">
      <c r="A610" s="63"/>
      <c r="B610" s="43"/>
    </row>
    <row r="611" hidden="1">
      <c r="A611" s="63"/>
      <c r="B611" s="43"/>
    </row>
    <row r="612" hidden="1">
      <c r="A612" s="63"/>
      <c r="B612" s="43"/>
    </row>
    <row r="613" hidden="1">
      <c r="A613" s="63"/>
      <c r="B613" s="43"/>
    </row>
    <row r="614" hidden="1">
      <c r="A614" s="63"/>
      <c r="B614" s="43"/>
    </row>
    <row r="615" hidden="1">
      <c r="A615" s="63"/>
      <c r="B615" s="43"/>
    </row>
    <row r="616" hidden="1">
      <c r="A616" s="63"/>
      <c r="B616" s="43"/>
    </row>
    <row r="617" hidden="1">
      <c r="A617" s="63"/>
      <c r="B617" s="43"/>
    </row>
    <row r="618" hidden="1">
      <c r="A618" s="63"/>
      <c r="B618" s="43"/>
    </row>
    <row r="619" hidden="1">
      <c r="A619" s="63"/>
      <c r="B619" s="43"/>
    </row>
    <row r="620" hidden="1">
      <c r="A620" s="63"/>
      <c r="B620" s="43"/>
    </row>
    <row r="621" hidden="1">
      <c r="A621" s="63"/>
      <c r="B621" s="43"/>
    </row>
    <row r="622" hidden="1">
      <c r="A622" s="63"/>
      <c r="B622" s="43"/>
    </row>
    <row r="623" hidden="1">
      <c r="A623" s="63"/>
      <c r="B623" s="43"/>
    </row>
    <row r="624" hidden="1">
      <c r="A624" s="63"/>
      <c r="B624" s="43"/>
    </row>
    <row r="625" hidden="1">
      <c r="A625" s="63"/>
      <c r="B625" s="43"/>
    </row>
    <row r="626" hidden="1">
      <c r="A626" s="63"/>
      <c r="B626" s="43"/>
    </row>
    <row r="627" hidden="1">
      <c r="A627" s="63"/>
      <c r="B627" s="43"/>
    </row>
    <row r="628" hidden="1">
      <c r="A628" s="63"/>
      <c r="B628" s="43"/>
    </row>
    <row r="629" hidden="1">
      <c r="A629" s="63"/>
      <c r="B629" s="43"/>
    </row>
    <row r="630" hidden="1">
      <c r="A630" s="63"/>
      <c r="B630" s="43"/>
    </row>
    <row r="631" hidden="1">
      <c r="A631" s="63"/>
      <c r="B631" s="43"/>
    </row>
    <row r="632" hidden="1">
      <c r="A632" s="63"/>
      <c r="B632" s="43"/>
    </row>
    <row r="633" hidden="1">
      <c r="A633" s="63"/>
      <c r="B633" s="43"/>
    </row>
    <row r="634" hidden="1">
      <c r="A634" s="63"/>
      <c r="B634" s="43"/>
    </row>
    <row r="635" hidden="1">
      <c r="A635" s="63"/>
      <c r="B635" s="43"/>
    </row>
    <row r="636" hidden="1">
      <c r="A636" s="63"/>
      <c r="B636" s="43"/>
    </row>
    <row r="637" hidden="1">
      <c r="A637" s="63"/>
      <c r="B637" s="43"/>
    </row>
    <row r="638" hidden="1">
      <c r="A638" s="63"/>
      <c r="B638" s="43"/>
    </row>
    <row r="639" hidden="1">
      <c r="A639" s="63"/>
      <c r="B639" s="43"/>
    </row>
    <row r="640" hidden="1">
      <c r="A640" s="63"/>
      <c r="B640" s="43"/>
    </row>
    <row r="641" hidden="1">
      <c r="A641" s="63"/>
      <c r="B641" s="43"/>
    </row>
    <row r="642" hidden="1">
      <c r="A642" s="63"/>
      <c r="B642" s="43"/>
    </row>
    <row r="643" hidden="1">
      <c r="A643" s="63"/>
      <c r="B643" s="43"/>
    </row>
    <row r="644" hidden="1">
      <c r="A644" s="63"/>
      <c r="B644" s="43"/>
    </row>
    <row r="645" hidden="1">
      <c r="A645" s="63"/>
      <c r="B645" s="43"/>
    </row>
    <row r="646" hidden="1">
      <c r="A646" s="63"/>
      <c r="B646" s="43"/>
    </row>
    <row r="647" hidden="1">
      <c r="A647" s="63"/>
      <c r="B647" s="43"/>
    </row>
    <row r="648" hidden="1">
      <c r="A648" s="63"/>
      <c r="B648" s="43"/>
    </row>
    <row r="649" hidden="1">
      <c r="A649" s="63"/>
      <c r="B649" s="43"/>
    </row>
    <row r="650" hidden="1">
      <c r="A650" s="63"/>
      <c r="B650" s="43"/>
    </row>
    <row r="651" hidden="1">
      <c r="A651" s="63"/>
      <c r="B651" s="43"/>
    </row>
    <row r="652" hidden="1">
      <c r="A652" s="63"/>
      <c r="B652" s="43"/>
    </row>
    <row r="653" hidden="1">
      <c r="A653" s="63"/>
      <c r="B653" s="43"/>
    </row>
    <row r="654" hidden="1">
      <c r="A654" s="63"/>
      <c r="B654" s="43"/>
    </row>
    <row r="655" hidden="1">
      <c r="A655" s="63"/>
      <c r="B655" s="43"/>
    </row>
    <row r="656" hidden="1">
      <c r="A656" s="63"/>
      <c r="B656" s="43"/>
    </row>
    <row r="657" hidden="1">
      <c r="A657" s="63"/>
      <c r="B657" s="43"/>
    </row>
    <row r="658" hidden="1">
      <c r="A658" s="63"/>
      <c r="B658" s="43"/>
    </row>
    <row r="659" hidden="1">
      <c r="A659" s="63"/>
      <c r="B659" s="43"/>
    </row>
    <row r="660" hidden="1">
      <c r="A660" s="63"/>
      <c r="B660" s="43"/>
    </row>
    <row r="661" hidden="1">
      <c r="A661" s="63"/>
      <c r="B661" s="43"/>
    </row>
    <row r="662" hidden="1">
      <c r="A662" s="63"/>
      <c r="B662" s="43"/>
    </row>
    <row r="663" hidden="1">
      <c r="A663" s="63"/>
      <c r="B663" s="43"/>
    </row>
    <row r="664" hidden="1">
      <c r="A664" s="63"/>
      <c r="B664" s="43"/>
    </row>
    <row r="665" hidden="1">
      <c r="A665" s="63"/>
      <c r="B665" s="43"/>
    </row>
    <row r="666" hidden="1">
      <c r="A666" s="63"/>
      <c r="B666" s="43"/>
    </row>
    <row r="667" hidden="1">
      <c r="A667" s="63"/>
      <c r="B667" s="43"/>
    </row>
    <row r="668" hidden="1">
      <c r="A668" s="63"/>
      <c r="B668" s="43"/>
    </row>
    <row r="669" hidden="1">
      <c r="A669" s="63"/>
      <c r="B669" s="43"/>
    </row>
    <row r="670" hidden="1">
      <c r="A670" s="63"/>
      <c r="B670" s="43"/>
    </row>
    <row r="671" hidden="1">
      <c r="A671" s="63"/>
      <c r="B671" s="43"/>
    </row>
    <row r="672" hidden="1">
      <c r="A672" s="63"/>
      <c r="B672" s="43"/>
    </row>
    <row r="673" hidden="1">
      <c r="A673" s="63"/>
      <c r="B673" s="43"/>
    </row>
    <row r="674" hidden="1">
      <c r="A674" s="63"/>
      <c r="B674" s="43"/>
    </row>
    <row r="675" hidden="1">
      <c r="A675" s="63"/>
      <c r="B675" s="43"/>
    </row>
    <row r="676" hidden="1">
      <c r="A676" s="63"/>
      <c r="B676" s="43"/>
    </row>
    <row r="677" hidden="1">
      <c r="A677" s="63"/>
      <c r="B677" s="43"/>
    </row>
    <row r="678" hidden="1">
      <c r="A678" s="63"/>
      <c r="B678" s="43"/>
    </row>
    <row r="679" hidden="1">
      <c r="A679" s="63"/>
      <c r="B679" s="43"/>
    </row>
    <row r="680" hidden="1">
      <c r="A680" s="63"/>
      <c r="B680" s="43"/>
    </row>
    <row r="681" hidden="1">
      <c r="A681" s="63"/>
      <c r="B681" s="43"/>
    </row>
    <row r="682" hidden="1">
      <c r="A682" s="63"/>
      <c r="B682" s="43"/>
    </row>
    <row r="683" hidden="1">
      <c r="A683" s="63"/>
      <c r="B683" s="43"/>
    </row>
    <row r="684" hidden="1">
      <c r="A684" s="63"/>
      <c r="B684" s="43"/>
    </row>
    <row r="685" hidden="1">
      <c r="A685" s="63"/>
      <c r="B685" s="43"/>
    </row>
    <row r="686" hidden="1">
      <c r="A686" s="63"/>
      <c r="B686" s="43"/>
    </row>
    <row r="687" hidden="1">
      <c r="A687" s="63"/>
      <c r="B687" s="43"/>
    </row>
    <row r="688" hidden="1">
      <c r="A688" s="63"/>
      <c r="B688" s="43"/>
    </row>
    <row r="689" hidden="1">
      <c r="A689" s="63"/>
      <c r="B689" s="43"/>
    </row>
    <row r="690" hidden="1">
      <c r="A690" s="63"/>
      <c r="B690" s="43"/>
    </row>
    <row r="691" hidden="1">
      <c r="A691" s="63"/>
      <c r="B691" s="43"/>
    </row>
    <row r="692" hidden="1">
      <c r="A692" s="63"/>
      <c r="B692" s="43"/>
    </row>
    <row r="693" hidden="1">
      <c r="A693" s="63"/>
      <c r="B693" s="43"/>
    </row>
    <row r="694" hidden="1">
      <c r="A694" s="63"/>
      <c r="B694" s="43"/>
    </row>
    <row r="695" hidden="1">
      <c r="A695" s="63"/>
      <c r="B695" s="43"/>
    </row>
    <row r="696" hidden="1">
      <c r="A696" s="63"/>
      <c r="B696" s="43"/>
    </row>
    <row r="697" hidden="1">
      <c r="A697" s="63"/>
      <c r="B697" s="43"/>
    </row>
    <row r="698" hidden="1">
      <c r="A698" s="63"/>
      <c r="B698" s="43"/>
    </row>
    <row r="699" hidden="1">
      <c r="A699" s="63"/>
      <c r="B699" s="43"/>
    </row>
    <row r="700" hidden="1">
      <c r="A700" s="63"/>
      <c r="B700" s="43"/>
    </row>
    <row r="701" hidden="1">
      <c r="A701" s="63"/>
      <c r="B701" s="43"/>
    </row>
    <row r="702" hidden="1">
      <c r="A702" s="63"/>
      <c r="B702" s="43"/>
    </row>
    <row r="703" hidden="1">
      <c r="A703" s="63"/>
      <c r="B703" s="43"/>
    </row>
    <row r="704" hidden="1">
      <c r="A704" s="63"/>
      <c r="B704" s="43"/>
    </row>
    <row r="705" hidden="1">
      <c r="A705" s="63"/>
      <c r="B705" s="43"/>
    </row>
    <row r="706" hidden="1">
      <c r="A706" s="63"/>
      <c r="B706" s="43"/>
    </row>
    <row r="707" hidden="1">
      <c r="A707" s="63"/>
      <c r="B707" s="43"/>
    </row>
    <row r="708" hidden="1">
      <c r="A708" s="63"/>
      <c r="B708" s="43"/>
    </row>
    <row r="709" hidden="1">
      <c r="A709" s="63"/>
      <c r="B709" s="43"/>
    </row>
    <row r="710" hidden="1">
      <c r="A710" s="63"/>
      <c r="B710" s="43"/>
    </row>
    <row r="711" hidden="1">
      <c r="A711" s="63"/>
      <c r="B711" s="43"/>
    </row>
    <row r="712" hidden="1">
      <c r="A712" s="63"/>
      <c r="B712" s="43"/>
    </row>
    <row r="713" hidden="1">
      <c r="A713" s="63"/>
      <c r="B713" s="43"/>
    </row>
    <row r="714" hidden="1">
      <c r="A714" s="63"/>
      <c r="B714" s="43"/>
    </row>
    <row r="715" hidden="1">
      <c r="A715" s="63"/>
      <c r="B715" s="43"/>
    </row>
    <row r="716" hidden="1">
      <c r="A716" s="63"/>
      <c r="B716" s="43"/>
    </row>
    <row r="717" hidden="1">
      <c r="A717" s="63"/>
      <c r="B717" s="43"/>
    </row>
    <row r="718" hidden="1">
      <c r="A718" s="63"/>
      <c r="B718" s="43"/>
    </row>
    <row r="719" hidden="1">
      <c r="A719" s="63"/>
      <c r="B719" s="43"/>
    </row>
    <row r="720" hidden="1">
      <c r="A720" s="63"/>
      <c r="B720" s="43"/>
    </row>
    <row r="721" hidden="1">
      <c r="A721" s="63"/>
      <c r="B721" s="43"/>
    </row>
    <row r="722" hidden="1">
      <c r="A722" s="63"/>
      <c r="B722" s="43"/>
    </row>
    <row r="723" hidden="1">
      <c r="A723" s="63"/>
      <c r="B723" s="43"/>
    </row>
    <row r="724" hidden="1">
      <c r="A724" s="63"/>
      <c r="B724" s="43"/>
    </row>
    <row r="725" hidden="1">
      <c r="A725" s="63"/>
      <c r="B725" s="43"/>
    </row>
    <row r="726" hidden="1">
      <c r="A726" s="63"/>
      <c r="B726" s="43"/>
    </row>
    <row r="727" hidden="1">
      <c r="A727" s="63"/>
      <c r="B727" s="43"/>
    </row>
    <row r="728" hidden="1">
      <c r="A728" s="63"/>
      <c r="B728" s="43"/>
    </row>
    <row r="729" hidden="1">
      <c r="A729" s="63"/>
      <c r="B729" s="43"/>
    </row>
    <row r="730" hidden="1">
      <c r="A730" s="63"/>
      <c r="B730" s="43"/>
    </row>
    <row r="731" hidden="1">
      <c r="A731" s="63"/>
      <c r="B731" s="43"/>
    </row>
    <row r="732" hidden="1">
      <c r="A732" s="63"/>
      <c r="B732" s="43"/>
    </row>
    <row r="733" hidden="1">
      <c r="A733" s="63"/>
      <c r="B733" s="43"/>
    </row>
    <row r="734" hidden="1">
      <c r="A734" s="63"/>
      <c r="B734" s="43"/>
    </row>
    <row r="735" hidden="1">
      <c r="A735" s="63"/>
      <c r="B735" s="43"/>
    </row>
    <row r="736" hidden="1">
      <c r="A736" s="63"/>
      <c r="B736" s="43"/>
    </row>
    <row r="737" hidden="1">
      <c r="A737" s="63"/>
      <c r="B737" s="43"/>
    </row>
    <row r="738" hidden="1">
      <c r="A738" s="63"/>
      <c r="B738" s="43"/>
    </row>
    <row r="739" hidden="1">
      <c r="A739" s="63"/>
      <c r="B739" s="43"/>
    </row>
    <row r="740" hidden="1">
      <c r="A740" s="63"/>
      <c r="B740" s="43"/>
    </row>
    <row r="741" hidden="1">
      <c r="A741" s="63"/>
      <c r="B741" s="43"/>
    </row>
    <row r="742" hidden="1">
      <c r="A742" s="63"/>
      <c r="B742" s="43"/>
    </row>
    <row r="743" hidden="1">
      <c r="A743" s="63"/>
      <c r="B743" s="43"/>
    </row>
    <row r="744" hidden="1">
      <c r="A744" s="63"/>
      <c r="B744" s="43"/>
    </row>
    <row r="745" hidden="1">
      <c r="A745" s="63"/>
      <c r="B745" s="43"/>
    </row>
    <row r="746" hidden="1">
      <c r="A746" s="63"/>
      <c r="B746" s="43"/>
    </row>
    <row r="747" hidden="1">
      <c r="A747" s="63"/>
      <c r="B747" s="43"/>
    </row>
    <row r="748" hidden="1">
      <c r="A748" s="63"/>
      <c r="B748" s="43"/>
    </row>
    <row r="749" hidden="1">
      <c r="A749" s="63"/>
      <c r="B749" s="43"/>
    </row>
    <row r="750" hidden="1">
      <c r="A750" s="63"/>
      <c r="B750" s="43"/>
    </row>
    <row r="751" hidden="1">
      <c r="A751" s="63"/>
      <c r="B751" s="43"/>
    </row>
    <row r="752" hidden="1">
      <c r="A752" s="63"/>
      <c r="B752" s="43"/>
    </row>
    <row r="753" hidden="1">
      <c r="A753" s="63"/>
      <c r="B753" s="43"/>
    </row>
    <row r="754" hidden="1">
      <c r="A754" s="63"/>
      <c r="B754" s="43"/>
    </row>
    <row r="755" hidden="1">
      <c r="A755" s="63"/>
      <c r="B755" s="43"/>
    </row>
    <row r="756" hidden="1">
      <c r="A756" s="63"/>
      <c r="B756" s="43"/>
    </row>
    <row r="757" hidden="1">
      <c r="A757" s="63"/>
      <c r="B757" s="43"/>
    </row>
    <row r="758" hidden="1">
      <c r="A758" s="63"/>
      <c r="B758" s="43"/>
    </row>
    <row r="759" hidden="1">
      <c r="A759" s="63"/>
      <c r="B759" s="43"/>
    </row>
    <row r="760" hidden="1">
      <c r="A760" s="63"/>
      <c r="B760" s="43"/>
    </row>
    <row r="761" hidden="1">
      <c r="A761" s="63"/>
      <c r="B761" s="43"/>
    </row>
    <row r="762" hidden="1">
      <c r="A762" s="63"/>
      <c r="B762" s="43"/>
    </row>
    <row r="763" hidden="1">
      <c r="A763" s="63"/>
      <c r="B763" s="43"/>
    </row>
    <row r="764" hidden="1">
      <c r="A764" s="63"/>
      <c r="B764" s="43"/>
    </row>
    <row r="765" hidden="1">
      <c r="A765" s="63"/>
      <c r="B765" s="43"/>
    </row>
    <row r="766" hidden="1">
      <c r="A766" s="63"/>
      <c r="B766" s="43"/>
    </row>
    <row r="767" hidden="1">
      <c r="A767" s="63"/>
      <c r="B767" s="43"/>
    </row>
    <row r="768" hidden="1">
      <c r="A768" s="63"/>
      <c r="B768" s="43"/>
    </row>
    <row r="769" hidden="1">
      <c r="A769" s="63"/>
      <c r="B769" s="43"/>
    </row>
    <row r="770" hidden="1">
      <c r="A770" s="63"/>
      <c r="B770" s="43"/>
    </row>
    <row r="771" hidden="1">
      <c r="A771" s="63"/>
      <c r="B771" s="43"/>
    </row>
    <row r="772" hidden="1">
      <c r="A772" s="63"/>
      <c r="B772" s="43"/>
    </row>
    <row r="773" hidden="1">
      <c r="A773" s="63"/>
      <c r="B773" s="43"/>
    </row>
    <row r="774" hidden="1">
      <c r="A774" s="63"/>
      <c r="B774" s="43"/>
    </row>
    <row r="775" hidden="1">
      <c r="A775" s="63"/>
      <c r="B775" s="43"/>
    </row>
    <row r="776" hidden="1">
      <c r="A776" s="63"/>
      <c r="B776" s="43"/>
    </row>
    <row r="777" hidden="1">
      <c r="A777" s="63"/>
      <c r="B777" s="43"/>
    </row>
    <row r="778" hidden="1">
      <c r="A778" s="63"/>
      <c r="B778" s="43"/>
    </row>
    <row r="779" hidden="1">
      <c r="A779" s="63"/>
      <c r="B779" s="43"/>
    </row>
    <row r="780" hidden="1">
      <c r="A780" s="63"/>
      <c r="B780" s="43"/>
    </row>
    <row r="781" hidden="1">
      <c r="A781" s="63"/>
      <c r="B781" s="43"/>
    </row>
    <row r="782" hidden="1">
      <c r="A782" s="63"/>
      <c r="B782" s="43"/>
    </row>
    <row r="783" hidden="1">
      <c r="A783" s="63"/>
      <c r="B783" s="43"/>
    </row>
    <row r="784" hidden="1">
      <c r="A784" s="63"/>
      <c r="B784" s="43"/>
    </row>
    <row r="785" hidden="1">
      <c r="A785" s="63"/>
      <c r="B785" s="43"/>
    </row>
    <row r="786" hidden="1">
      <c r="A786" s="63"/>
      <c r="B786" s="43"/>
    </row>
    <row r="787" hidden="1">
      <c r="A787" s="63"/>
      <c r="B787" s="43"/>
    </row>
    <row r="788" hidden="1">
      <c r="A788" s="63"/>
      <c r="B788" s="43"/>
    </row>
    <row r="789" hidden="1">
      <c r="A789" s="63"/>
      <c r="B789" s="43"/>
    </row>
    <row r="790" hidden="1">
      <c r="A790" s="63"/>
      <c r="B790" s="43"/>
    </row>
    <row r="791" hidden="1">
      <c r="A791" s="63"/>
      <c r="B791" s="43"/>
    </row>
    <row r="792" hidden="1">
      <c r="A792" s="63"/>
      <c r="B792" s="43"/>
    </row>
    <row r="793" hidden="1">
      <c r="A793" s="63"/>
      <c r="B793" s="43"/>
    </row>
    <row r="794" hidden="1">
      <c r="A794" s="63"/>
      <c r="B794" s="43"/>
    </row>
    <row r="795" hidden="1">
      <c r="A795" s="63"/>
      <c r="B795" s="43"/>
    </row>
    <row r="796" hidden="1">
      <c r="A796" s="63"/>
      <c r="B796" s="43"/>
    </row>
    <row r="797" hidden="1">
      <c r="A797" s="63"/>
      <c r="B797" s="43"/>
    </row>
    <row r="798" hidden="1">
      <c r="A798" s="63"/>
      <c r="B798" s="43"/>
    </row>
    <row r="799" hidden="1">
      <c r="A799" s="63"/>
      <c r="B799" s="43"/>
    </row>
    <row r="800" hidden="1">
      <c r="A800" s="63"/>
      <c r="B800" s="43"/>
    </row>
    <row r="801" hidden="1">
      <c r="A801" s="63"/>
      <c r="B801" s="43"/>
    </row>
    <row r="802" hidden="1">
      <c r="A802" s="63"/>
      <c r="B802" s="43"/>
    </row>
    <row r="803" hidden="1">
      <c r="A803" s="63"/>
      <c r="B803" s="43"/>
    </row>
    <row r="804" hidden="1">
      <c r="A804" s="63"/>
      <c r="B804" s="43"/>
    </row>
    <row r="805" hidden="1">
      <c r="A805" s="63"/>
      <c r="B805" s="43"/>
    </row>
    <row r="806" hidden="1">
      <c r="A806" s="63"/>
      <c r="B806" s="43"/>
    </row>
    <row r="807" hidden="1">
      <c r="A807" s="63"/>
      <c r="B807" s="43"/>
    </row>
    <row r="808" hidden="1">
      <c r="A808" s="63"/>
      <c r="B808" s="43"/>
    </row>
    <row r="809" hidden="1">
      <c r="A809" s="63"/>
      <c r="B809" s="43"/>
    </row>
    <row r="810" hidden="1">
      <c r="A810" s="63"/>
      <c r="B810" s="43"/>
    </row>
    <row r="811" hidden="1">
      <c r="A811" s="63"/>
      <c r="B811" s="43"/>
    </row>
    <row r="812" hidden="1">
      <c r="A812" s="63"/>
      <c r="B812" s="43"/>
    </row>
    <row r="813" hidden="1">
      <c r="A813" s="63"/>
      <c r="B813" s="43"/>
    </row>
    <row r="814" hidden="1">
      <c r="A814" s="63"/>
      <c r="B814" s="43"/>
    </row>
    <row r="815" hidden="1">
      <c r="A815" s="63"/>
      <c r="B815" s="43"/>
    </row>
    <row r="816" hidden="1">
      <c r="A816" s="63"/>
      <c r="B816" s="43"/>
    </row>
    <row r="817" hidden="1">
      <c r="A817" s="63"/>
      <c r="B817" s="43"/>
    </row>
    <row r="818" hidden="1">
      <c r="A818" s="63"/>
      <c r="B818" s="43"/>
    </row>
    <row r="819" hidden="1">
      <c r="A819" s="63"/>
      <c r="B819" s="43"/>
    </row>
    <row r="820" hidden="1">
      <c r="A820" s="63"/>
      <c r="B820" s="43"/>
    </row>
    <row r="821" hidden="1">
      <c r="A821" s="63"/>
      <c r="B821" s="43"/>
    </row>
    <row r="822" hidden="1">
      <c r="A822" s="63"/>
      <c r="B822" s="43"/>
    </row>
    <row r="823" hidden="1">
      <c r="A823" s="63"/>
      <c r="B823" s="43"/>
    </row>
    <row r="824" hidden="1">
      <c r="A824" s="63"/>
      <c r="B824" s="43"/>
    </row>
    <row r="825" hidden="1">
      <c r="A825" s="63"/>
      <c r="B825" s="43"/>
    </row>
    <row r="826" hidden="1">
      <c r="A826" s="63"/>
      <c r="B826" s="43"/>
    </row>
    <row r="827" hidden="1">
      <c r="A827" s="63"/>
      <c r="B827" s="43"/>
    </row>
    <row r="828" hidden="1">
      <c r="A828" s="63"/>
      <c r="B828" s="43"/>
    </row>
    <row r="829" hidden="1">
      <c r="A829" s="63"/>
      <c r="B829" s="43"/>
    </row>
    <row r="830" hidden="1">
      <c r="A830" s="63"/>
      <c r="B830" s="43"/>
    </row>
    <row r="831" hidden="1">
      <c r="A831" s="63"/>
      <c r="B831" s="43"/>
    </row>
    <row r="832" hidden="1">
      <c r="A832" s="63"/>
      <c r="B832" s="43"/>
    </row>
    <row r="833" hidden="1">
      <c r="A833" s="63"/>
      <c r="B833" s="43"/>
    </row>
    <row r="834" hidden="1">
      <c r="A834" s="63"/>
      <c r="B834" s="43"/>
    </row>
    <row r="835" hidden="1">
      <c r="A835" s="63"/>
      <c r="B835" s="43"/>
    </row>
    <row r="836" hidden="1">
      <c r="A836" s="63"/>
      <c r="B836" s="43"/>
    </row>
    <row r="837" hidden="1">
      <c r="A837" s="63"/>
      <c r="B837" s="43"/>
    </row>
    <row r="838" hidden="1">
      <c r="A838" s="63"/>
      <c r="B838" s="43"/>
    </row>
    <row r="839" hidden="1">
      <c r="A839" s="63"/>
      <c r="B839" s="43"/>
    </row>
    <row r="840" hidden="1">
      <c r="A840" s="63"/>
      <c r="B840" s="43"/>
    </row>
    <row r="841" hidden="1">
      <c r="A841" s="63"/>
      <c r="B841" s="43"/>
    </row>
    <row r="842" hidden="1">
      <c r="A842" s="63"/>
      <c r="B842" s="43"/>
    </row>
    <row r="843" hidden="1">
      <c r="A843" s="63"/>
      <c r="B843" s="43"/>
    </row>
    <row r="844" hidden="1">
      <c r="A844" s="63"/>
      <c r="B844" s="43"/>
    </row>
    <row r="845" hidden="1">
      <c r="A845" s="63"/>
      <c r="B845" s="43"/>
    </row>
    <row r="846" hidden="1">
      <c r="A846" s="63"/>
      <c r="B846" s="43"/>
    </row>
    <row r="847" hidden="1">
      <c r="A847" s="63"/>
      <c r="B847" s="43"/>
    </row>
    <row r="848" hidden="1">
      <c r="A848" s="63"/>
      <c r="B848" s="43"/>
    </row>
    <row r="849" hidden="1">
      <c r="A849" s="63"/>
      <c r="B849" s="43"/>
    </row>
    <row r="850" hidden="1">
      <c r="A850" s="63"/>
      <c r="B850" s="43"/>
    </row>
    <row r="851" hidden="1">
      <c r="A851" s="63"/>
      <c r="B851" s="43"/>
    </row>
    <row r="852" hidden="1">
      <c r="A852" s="63"/>
      <c r="B852" s="43"/>
    </row>
    <row r="853" hidden="1">
      <c r="A853" s="63"/>
      <c r="B853" s="43"/>
    </row>
    <row r="854" hidden="1">
      <c r="A854" s="63"/>
      <c r="B854" s="43"/>
    </row>
    <row r="855" hidden="1">
      <c r="A855" s="63"/>
      <c r="B855" s="43"/>
    </row>
    <row r="856" hidden="1">
      <c r="A856" s="63"/>
      <c r="B856" s="43"/>
    </row>
    <row r="857" hidden="1">
      <c r="A857" s="63"/>
      <c r="B857" s="43"/>
    </row>
    <row r="858" hidden="1">
      <c r="A858" s="63"/>
      <c r="B858" s="43"/>
    </row>
    <row r="859" hidden="1">
      <c r="A859" s="63"/>
      <c r="B859" s="43"/>
    </row>
    <row r="860" hidden="1">
      <c r="A860" s="63"/>
      <c r="B860" s="43"/>
    </row>
    <row r="861" hidden="1">
      <c r="A861" s="63"/>
      <c r="B861" s="43"/>
    </row>
    <row r="862" hidden="1">
      <c r="A862" s="63"/>
      <c r="B862" s="43"/>
    </row>
    <row r="863" hidden="1">
      <c r="A863" s="63"/>
      <c r="B863" s="43"/>
    </row>
    <row r="864" hidden="1">
      <c r="A864" s="63"/>
      <c r="B864" s="43"/>
    </row>
    <row r="865" hidden="1">
      <c r="A865" s="63"/>
      <c r="B865" s="43"/>
    </row>
    <row r="866" hidden="1">
      <c r="A866" s="63"/>
      <c r="B866" s="43"/>
    </row>
    <row r="867" hidden="1">
      <c r="A867" s="63"/>
      <c r="B867" s="43"/>
    </row>
    <row r="868" hidden="1">
      <c r="A868" s="63"/>
      <c r="B868" s="43"/>
    </row>
    <row r="869" hidden="1">
      <c r="A869" s="63"/>
      <c r="B869" s="43"/>
    </row>
    <row r="870" hidden="1">
      <c r="A870" s="63"/>
      <c r="B870" s="43"/>
    </row>
    <row r="871" hidden="1">
      <c r="A871" s="63"/>
      <c r="B871" s="43"/>
    </row>
    <row r="872" hidden="1">
      <c r="A872" s="63"/>
      <c r="B872" s="43"/>
    </row>
    <row r="873" hidden="1">
      <c r="A873" s="63"/>
      <c r="B873" s="43"/>
    </row>
    <row r="874" hidden="1">
      <c r="A874" s="63"/>
      <c r="B874" s="43"/>
    </row>
    <row r="875" hidden="1">
      <c r="A875" s="63"/>
      <c r="B875" s="43"/>
    </row>
    <row r="876" hidden="1">
      <c r="A876" s="63"/>
      <c r="B876" s="43"/>
    </row>
    <row r="877" hidden="1">
      <c r="A877" s="63"/>
      <c r="B877" s="43"/>
    </row>
    <row r="878" hidden="1">
      <c r="A878" s="63"/>
      <c r="B878" s="43"/>
    </row>
    <row r="879" hidden="1">
      <c r="A879" s="63"/>
      <c r="B879" s="43"/>
    </row>
    <row r="880" hidden="1">
      <c r="A880" s="63"/>
      <c r="B880" s="43"/>
    </row>
    <row r="881" hidden="1">
      <c r="A881" s="63"/>
      <c r="B881" s="43"/>
    </row>
    <row r="882" hidden="1">
      <c r="A882" s="63"/>
      <c r="B882" s="43"/>
    </row>
    <row r="883" hidden="1">
      <c r="A883" s="63"/>
      <c r="B883" s="43"/>
    </row>
    <row r="884" hidden="1">
      <c r="A884" s="63"/>
      <c r="B884" s="43"/>
    </row>
    <row r="885" hidden="1">
      <c r="A885" s="63"/>
      <c r="B885" s="43"/>
    </row>
    <row r="886" hidden="1">
      <c r="A886" s="63"/>
      <c r="B886" s="43"/>
    </row>
    <row r="887" hidden="1">
      <c r="A887" s="63"/>
      <c r="B887" s="43"/>
    </row>
    <row r="888" hidden="1">
      <c r="A888" s="63"/>
      <c r="B888" s="43"/>
    </row>
    <row r="889" hidden="1">
      <c r="A889" s="63"/>
      <c r="B889" s="43"/>
    </row>
    <row r="890" hidden="1">
      <c r="A890" s="63"/>
      <c r="B890" s="43"/>
    </row>
    <row r="891" hidden="1">
      <c r="A891" s="63"/>
      <c r="B891" s="43"/>
    </row>
    <row r="892" hidden="1">
      <c r="A892" s="63"/>
      <c r="B892" s="43"/>
    </row>
    <row r="893" hidden="1">
      <c r="A893" s="63"/>
      <c r="B893" s="43"/>
    </row>
    <row r="894" hidden="1">
      <c r="A894" s="63"/>
      <c r="B894" s="43"/>
    </row>
    <row r="895" hidden="1">
      <c r="A895" s="63"/>
      <c r="B895" s="43"/>
    </row>
    <row r="896" hidden="1">
      <c r="A896" s="63"/>
      <c r="B896" s="43"/>
    </row>
    <row r="897" hidden="1">
      <c r="A897" s="63"/>
      <c r="B897" s="43"/>
    </row>
    <row r="898" hidden="1">
      <c r="A898" s="63"/>
      <c r="B898" s="43"/>
    </row>
    <row r="899" hidden="1">
      <c r="A899" s="63"/>
      <c r="B899" s="43"/>
    </row>
    <row r="900" hidden="1">
      <c r="A900" s="63"/>
      <c r="B900" s="43"/>
    </row>
    <row r="901" hidden="1">
      <c r="A901" s="63"/>
      <c r="B901" s="43"/>
    </row>
    <row r="902" hidden="1">
      <c r="A902" s="63"/>
      <c r="B902" s="43"/>
    </row>
    <row r="903" hidden="1">
      <c r="A903" s="63"/>
      <c r="B903" s="43"/>
    </row>
    <row r="904" hidden="1">
      <c r="A904" s="63"/>
      <c r="B904" s="43"/>
    </row>
    <row r="905" hidden="1">
      <c r="A905" s="63"/>
      <c r="B905" s="43"/>
    </row>
    <row r="906" hidden="1">
      <c r="A906" s="63"/>
      <c r="B906" s="43"/>
    </row>
    <row r="907" hidden="1">
      <c r="A907" s="63"/>
      <c r="B907" s="43"/>
    </row>
    <row r="908" hidden="1">
      <c r="A908" s="63"/>
      <c r="B908" s="43"/>
    </row>
    <row r="909" hidden="1">
      <c r="A909" s="63"/>
      <c r="B909" s="43"/>
    </row>
    <row r="910" hidden="1">
      <c r="A910" s="63"/>
      <c r="B910" s="43"/>
    </row>
    <row r="911" hidden="1">
      <c r="A911" s="63"/>
      <c r="B911" s="43"/>
    </row>
    <row r="912" hidden="1">
      <c r="A912" s="63"/>
      <c r="B912" s="43"/>
    </row>
    <row r="913" hidden="1">
      <c r="A913" s="63"/>
      <c r="B913" s="43"/>
    </row>
    <row r="914" hidden="1">
      <c r="A914" s="63"/>
      <c r="B914" s="43"/>
    </row>
    <row r="915" hidden="1">
      <c r="A915" s="63"/>
      <c r="B915" s="43"/>
    </row>
    <row r="916" hidden="1">
      <c r="A916" s="63"/>
      <c r="B916" s="43"/>
    </row>
    <row r="917" hidden="1">
      <c r="A917" s="63"/>
      <c r="B917" s="43"/>
    </row>
    <row r="918" hidden="1">
      <c r="A918" s="63"/>
      <c r="B918" s="43"/>
    </row>
    <row r="919" hidden="1">
      <c r="A919" s="63"/>
      <c r="B919" s="43"/>
    </row>
    <row r="920" hidden="1">
      <c r="A920" s="63"/>
      <c r="B920" s="43"/>
    </row>
    <row r="921" hidden="1">
      <c r="A921" s="63"/>
      <c r="B921" s="43"/>
    </row>
    <row r="922" hidden="1">
      <c r="A922" s="63"/>
      <c r="B922" s="43"/>
    </row>
    <row r="923" hidden="1">
      <c r="A923" s="63"/>
      <c r="B923" s="43"/>
    </row>
    <row r="924" hidden="1">
      <c r="A924" s="63"/>
      <c r="B924" s="43"/>
    </row>
    <row r="925" hidden="1">
      <c r="A925" s="63"/>
      <c r="B925" s="43"/>
    </row>
    <row r="926" hidden="1">
      <c r="A926" s="63"/>
      <c r="B926" s="43"/>
    </row>
    <row r="927" hidden="1">
      <c r="A927" s="63"/>
      <c r="B927" s="43"/>
    </row>
    <row r="928" hidden="1">
      <c r="A928" s="63"/>
      <c r="B928" s="43"/>
    </row>
    <row r="929" hidden="1">
      <c r="A929" s="63"/>
      <c r="B929" s="43"/>
    </row>
    <row r="930" hidden="1">
      <c r="A930" s="63"/>
      <c r="B930" s="43"/>
    </row>
    <row r="931" hidden="1">
      <c r="A931" s="63"/>
      <c r="B931" s="43"/>
    </row>
    <row r="932" hidden="1">
      <c r="A932" s="63"/>
      <c r="B932" s="43"/>
    </row>
    <row r="933" hidden="1">
      <c r="A933" s="63"/>
      <c r="B933" s="43"/>
    </row>
    <row r="934" hidden="1">
      <c r="A934" s="63"/>
      <c r="B934" s="43"/>
    </row>
    <row r="935" hidden="1">
      <c r="A935" s="63"/>
      <c r="B935" s="43"/>
    </row>
    <row r="936" hidden="1">
      <c r="A936" s="63"/>
      <c r="B936" s="43"/>
    </row>
    <row r="937" hidden="1">
      <c r="A937" s="63"/>
      <c r="B937" s="43"/>
    </row>
    <row r="938" hidden="1">
      <c r="A938" s="63"/>
      <c r="B938" s="43"/>
    </row>
    <row r="939" hidden="1">
      <c r="A939" s="63"/>
      <c r="B939" s="43"/>
    </row>
    <row r="940" hidden="1">
      <c r="A940" s="63"/>
      <c r="B940" s="43"/>
    </row>
    <row r="941" hidden="1">
      <c r="A941" s="63"/>
      <c r="B941" s="43"/>
    </row>
    <row r="942" hidden="1">
      <c r="A942" s="63"/>
      <c r="B942" s="43"/>
    </row>
    <row r="943" hidden="1">
      <c r="A943" s="63"/>
      <c r="B943" s="43"/>
    </row>
    <row r="944" hidden="1">
      <c r="A944" s="63"/>
      <c r="B944" s="43"/>
    </row>
    <row r="945" hidden="1">
      <c r="A945" s="63"/>
      <c r="B945" s="43"/>
    </row>
    <row r="946" hidden="1">
      <c r="A946" s="63"/>
      <c r="B946" s="43"/>
    </row>
    <row r="947" hidden="1">
      <c r="A947" s="63"/>
      <c r="B947" s="43"/>
    </row>
    <row r="948" hidden="1">
      <c r="A948" s="63"/>
      <c r="B948" s="43"/>
    </row>
    <row r="949" hidden="1">
      <c r="A949" s="63"/>
      <c r="B949" s="43"/>
    </row>
    <row r="950" hidden="1">
      <c r="A950" s="63"/>
      <c r="B950" s="43"/>
    </row>
    <row r="951" hidden="1">
      <c r="A951" s="63"/>
      <c r="B951" s="43"/>
    </row>
    <row r="952" hidden="1">
      <c r="A952" s="63"/>
      <c r="B952" s="43"/>
    </row>
    <row r="953" hidden="1">
      <c r="A953" s="63"/>
      <c r="B953" s="43"/>
    </row>
    <row r="954" hidden="1">
      <c r="A954" s="63"/>
      <c r="B954" s="43"/>
    </row>
    <row r="955" hidden="1">
      <c r="A955" s="63"/>
      <c r="B955" s="43"/>
    </row>
    <row r="956" hidden="1">
      <c r="A956" s="63"/>
      <c r="B956" s="43"/>
    </row>
    <row r="957" hidden="1">
      <c r="A957" s="63"/>
      <c r="B957" s="43"/>
    </row>
    <row r="958" hidden="1">
      <c r="A958" s="63"/>
      <c r="B958" s="43"/>
    </row>
    <row r="959" hidden="1">
      <c r="A959" s="63"/>
      <c r="B959" s="43"/>
    </row>
    <row r="960" hidden="1">
      <c r="A960" s="63"/>
      <c r="B960" s="43"/>
    </row>
    <row r="961" hidden="1">
      <c r="A961" s="63"/>
      <c r="B961" s="43"/>
    </row>
    <row r="962" hidden="1">
      <c r="A962" s="63"/>
      <c r="B962" s="43"/>
    </row>
    <row r="963" hidden="1">
      <c r="A963" s="63"/>
      <c r="B963" s="43"/>
    </row>
    <row r="964" hidden="1">
      <c r="A964" s="63"/>
      <c r="B964" s="43"/>
    </row>
    <row r="965" hidden="1">
      <c r="A965" s="63"/>
      <c r="B965" s="43"/>
    </row>
    <row r="966" hidden="1">
      <c r="A966" s="63"/>
      <c r="B966" s="43"/>
    </row>
    <row r="967" hidden="1">
      <c r="A967" s="63"/>
      <c r="B967" s="43"/>
    </row>
    <row r="968" hidden="1">
      <c r="A968" s="63"/>
      <c r="B968" s="43"/>
    </row>
    <row r="969" hidden="1">
      <c r="A969" s="63"/>
      <c r="B969" s="43"/>
    </row>
    <row r="970" hidden="1">
      <c r="A970" s="63"/>
      <c r="B970" s="43"/>
    </row>
    <row r="971" hidden="1">
      <c r="A971" s="63"/>
      <c r="B971" s="43"/>
    </row>
    <row r="972" hidden="1">
      <c r="A972" s="63"/>
      <c r="B972" s="43"/>
    </row>
    <row r="973" hidden="1">
      <c r="A973" s="63"/>
      <c r="B973" s="43"/>
    </row>
    <row r="974" hidden="1">
      <c r="A974" s="63"/>
      <c r="B974" s="43"/>
    </row>
    <row r="975" hidden="1">
      <c r="A975" s="63"/>
      <c r="B975" s="43"/>
    </row>
    <row r="976" hidden="1">
      <c r="A976" s="63"/>
      <c r="B976" s="43"/>
    </row>
    <row r="977" hidden="1">
      <c r="A977" s="63"/>
      <c r="B977" s="43"/>
    </row>
    <row r="978" hidden="1">
      <c r="A978" s="63"/>
      <c r="B978" s="43"/>
    </row>
    <row r="979" hidden="1">
      <c r="A979" s="63"/>
      <c r="B979" s="43"/>
    </row>
    <row r="980" hidden="1">
      <c r="A980" s="63"/>
      <c r="B980" s="43"/>
    </row>
    <row r="981" hidden="1">
      <c r="A981" s="63"/>
      <c r="B981" s="43"/>
    </row>
    <row r="982" hidden="1">
      <c r="A982" s="63"/>
      <c r="B982" s="43"/>
    </row>
    <row r="983" hidden="1">
      <c r="A983" s="63"/>
      <c r="B983" s="43"/>
    </row>
    <row r="984" hidden="1">
      <c r="A984" s="63"/>
      <c r="B984" s="43"/>
    </row>
    <row r="985" hidden="1">
      <c r="A985" s="63"/>
      <c r="B985" s="43"/>
    </row>
    <row r="986" hidden="1">
      <c r="A986" s="63"/>
      <c r="B986" s="43"/>
    </row>
    <row r="987" hidden="1">
      <c r="A987" s="63"/>
      <c r="B987" s="43"/>
    </row>
    <row r="988" hidden="1">
      <c r="A988" s="63"/>
      <c r="B988" s="43"/>
    </row>
    <row r="989" hidden="1">
      <c r="A989" s="63"/>
      <c r="B989" s="43"/>
    </row>
    <row r="990" hidden="1">
      <c r="A990" s="63"/>
      <c r="B990" s="43"/>
    </row>
    <row r="991" hidden="1">
      <c r="A991" s="63"/>
      <c r="B991" s="43"/>
    </row>
    <row r="992" hidden="1">
      <c r="A992" s="63"/>
      <c r="B992" s="43"/>
    </row>
    <row r="993" hidden="1">
      <c r="A993" s="63"/>
      <c r="B993" s="43"/>
    </row>
    <row r="994" hidden="1">
      <c r="A994" s="63"/>
      <c r="B994" s="43"/>
    </row>
    <row r="995" hidden="1">
      <c r="A995" s="63"/>
      <c r="B995" s="43"/>
    </row>
    <row r="996" hidden="1">
      <c r="A996" s="63"/>
      <c r="B996" s="43"/>
    </row>
    <row r="997" hidden="1">
      <c r="A997" s="63"/>
      <c r="B997" s="43"/>
    </row>
    <row r="998" hidden="1">
      <c r="A998" s="63"/>
      <c r="B998" s="43"/>
    </row>
    <row r="999" hidden="1">
      <c r="A999" s="63"/>
      <c r="B999" s="43"/>
    </row>
    <row r="1000" hidden="1">
      <c r="A1000" s="63"/>
      <c r="B1000" s="43"/>
    </row>
    <row r="1001" hidden="1">
      <c r="A1001" s="63"/>
      <c r="B1001" s="43"/>
    </row>
    <row r="1002" hidden="1">
      <c r="A1002" s="63"/>
      <c r="B1002" s="43"/>
    </row>
    <row r="1003" hidden="1">
      <c r="A1003" s="63"/>
      <c r="B1003" s="43"/>
    </row>
    <row r="1004" hidden="1">
      <c r="A1004" s="63"/>
      <c r="B1004" s="43"/>
    </row>
    <row r="1005" hidden="1">
      <c r="A1005" s="63"/>
      <c r="B1005" s="43"/>
    </row>
    <row r="1006" hidden="1">
      <c r="A1006" s="63"/>
      <c r="B1006" s="43"/>
    </row>
    <row r="1007">
      <c r="A1007" s="57">
        <v>45541.0</v>
      </c>
      <c r="B1007" s="58" t="s">
        <v>249</v>
      </c>
      <c r="C1007" s="59" t="s">
        <v>251</v>
      </c>
      <c r="D1007" s="59" t="s">
        <v>253</v>
      </c>
      <c r="E1007" s="59" t="s">
        <v>488</v>
      </c>
      <c r="F1007" s="58" t="s">
        <v>264</v>
      </c>
      <c r="G1007" s="59" t="s">
        <v>265</v>
      </c>
      <c r="H1007" s="57">
        <v>45549.0</v>
      </c>
      <c r="I1007" s="59" t="s">
        <v>266</v>
      </c>
      <c r="J1007" s="59" t="s">
        <v>267</v>
      </c>
      <c r="K1007" s="60"/>
      <c r="L1007" s="60"/>
      <c r="M1007" s="60"/>
    </row>
    <row r="1008">
      <c r="A1008" s="57">
        <v>45537.0</v>
      </c>
      <c r="B1008" s="58" t="s">
        <v>249</v>
      </c>
      <c r="C1008" s="59" t="s">
        <v>251</v>
      </c>
      <c r="D1008" s="59" t="s">
        <v>253</v>
      </c>
      <c r="E1008" s="59" t="s">
        <v>490</v>
      </c>
      <c r="F1008" s="58" t="s">
        <v>264</v>
      </c>
      <c r="G1008" s="59" t="s">
        <v>265</v>
      </c>
      <c r="H1008" s="57">
        <v>45549.0</v>
      </c>
      <c r="I1008" s="59" t="s">
        <v>266</v>
      </c>
      <c r="J1008" s="59" t="s">
        <v>267</v>
      </c>
      <c r="K1008" s="60"/>
      <c r="L1008" s="60"/>
      <c r="M1008" s="60"/>
    </row>
    <row r="1009">
      <c r="A1009" s="57">
        <v>45542.0</v>
      </c>
      <c r="B1009" s="58" t="s">
        <v>249</v>
      </c>
      <c r="C1009" s="59" t="s">
        <v>251</v>
      </c>
      <c r="D1009" s="59" t="s">
        <v>253</v>
      </c>
      <c r="E1009" s="59" t="s">
        <v>492</v>
      </c>
      <c r="F1009" s="58" t="s">
        <v>264</v>
      </c>
      <c r="G1009" s="59" t="s">
        <v>265</v>
      </c>
      <c r="H1009" s="57">
        <v>45549.0</v>
      </c>
      <c r="I1009" s="59" t="s">
        <v>266</v>
      </c>
      <c r="J1009" s="59" t="s">
        <v>267</v>
      </c>
      <c r="K1009" s="60"/>
      <c r="L1009" s="60"/>
      <c r="M1009" s="60"/>
    </row>
    <row r="1010">
      <c r="A1010" s="57">
        <v>45542.0</v>
      </c>
      <c r="B1010" s="58" t="s">
        <v>268</v>
      </c>
      <c r="C1010" s="59" t="s">
        <v>251</v>
      </c>
      <c r="D1010" s="61" t="s">
        <v>253</v>
      </c>
      <c r="E1010" s="59" t="s">
        <v>494</v>
      </c>
      <c r="F1010" s="58" t="s">
        <v>264</v>
      </c>
      <c r="G1010" s="59" t="s">
        <v>265</v>
      </c>
      <c r="H1010" s="57">
        <v>45549.0</v>
      </c>
      <c r="I1010" s="59" t="s">
        <v>273</v>
      </c>
      <c r="J1010" s="59" t="s">
        <v>275</v>
      </c>
      <c r="K1010" s="60"/>
      <c r="L1010" s="60"/>
      <c r="M1010" s="60"/>
    </row>
    <row r="1011">
      <c r="A1011" s="57">
        <v>45542.0</v>
      </c>
      <c r="B1011" s="58" t="s">
        <v>277</v>
      </c>
      <c r="C1011" s="59" t="s">
        <v>251</v>
      </c>
      <c r="D1011" s="59" t="s">
        <v>253</v>
      </c>
      <c r="E1011" s="59" t="s">
        <v>496</v>
      </c>
      <c r="F1011" s="58" t="s">
        <v>264</v>
      </c>
      <c r="G1011" s="59" t="s">
        <v>265</v>
      </c>
      <c r="H1011" s="57">
        <v>45534.0</v>
      </c>
      <c r="I1011" s="59" t="s">
        <v>266</v>
      </c>
      <c r="J1011" s="58" t="s">
        <v>285</v>
      </c>
      <c r="K1011" s="60"/>
      <c r="L1011" s="60"/>
      <c r="M1011" s="60"/>
    </row>
    <row r="1012">
      <c r="A1012" s="129"/>
      <c r="B1012" s="130"/>
      <c r="C1012" s="60"/>
      <c r="D1012" s="60"/>
      <c r="E1012" s="60"/>
      <c r="F1012" s="130"/>
      <c r="G1012" s="60"/>
      <c r="H1012" s="130"/>
      <c r="I1012" s="60"/>
      <c r="J1012" s="60"/>
      <c r="K1012" s="60"/>
      <c r="L1012" s="60"/>
      <c r="M1012" s="60"/>
    </row>
    <row r="1013">
      <c r="A1013" s="129"/>
      <c r="B1013" s="130"/>
      <c r="C1013" s="60"/>
      <c r="D1013" s="60"/>
      <c r="E1013" s="60"/>
      <c r="F1013" s="130"/>
      <c r="G1013" s="60"/>
      <c r="H1013" s="130"/>
      <c r="I1013" s="60"/>
      <c r="J1013" s="60"/>
      <c r="K1013" s="60"/>
      <c r="L1013" s="60"/>
      <c r="M1013" s="60"/>
    </row>
    <row r="1014">
      <c r="A1014" s="129"/>
      <c r="B1014" s="130"/>
      <c r="C1014" s="60"/>
      <c r="D1014" s="60"/>
      <c r="E1014" s="60"/>
      <c r="F1014" s="130"/>
      <c r="G1014" s="60"/>
      <c r="H1014" s="130"/>
      <c r="I1014" s="60"/>
      <c r="J1014" s="60"/>
      <c r="K1014" s="60"/>
      <c r="L1014" s="60"/>
      <c r="M1014" s="60"/>
    </row>
    <row r="1015">
      <c r="A1015" s="129"/>
      <c r="B1015" s="130"/>
      <c r="C1015" s="60"/>
      <c r="D1015" s="60"/>
      <c r="E1015" s="60"/>
      <c r="F1015" s="130"/>
      <c r="G1015" s="60"/>
      <c r="H1015" s="130"/>
      <c r="I1015" s="60"/>
      <c r="J1015" s="60"/>
      <c r="K1015" s="60"/>
      <c r="L1015" s="60"/>
      <c r="M1015" s="60"/>
    </row>
    <row r="1016">
      <c r="A1016" s="129"/>
      <c r="B1016" s="130"/>
      <c r="C1016" s="60"/>
      <c r="D1016" s="60"/>
      <c r="E1016" s="60"/>
      <c r="F1016" s="130"/>
      <c r="G1016" s="60"/>
      <c r="H1016" s="130"/>
      <c r="I1016" s="60"/>
      <c r="J1016" s="60"/>
      <c r="K1016" s="60"/>
      <c r="L1016" s="60"/>
      <c r="M1016" s="60"/>
    </row>
    <row r="1017">
      <c r="A1017" s="129"/>
      <c r="B1017" s="130"/>
      <c r="C1017" s="60"/>
      <c r="D1017" s="60"/>
      <c r="E1017" s="60"/>
      <c r="F1017" s="130"/>
      <c r="G1017" s="60"/>
      <c r="H1017" s="130"/>
      <c r="I1017" s="60"/>
      <c r="J1017" s="60"/>
      <c r="K1017" s="60"/>
      <c r="L1017" s="60"/>
      <c r="M1017" s="60"/>
    </row>
    <row r="1018">
      <c r="A1018" s="129"/>
      <c r="B1018" s="130"/>
      <c r="C1018" s="60"/>
      <c r="D1018" s="60"/>
      <c r="E1018" s="60"/>
      <c r="F1018" s="130"/>
      <c r="G1018" s="60"/>
      <c r="H1018" s="130"/>
      <c r="I1018" s="60"/>
      <c r="J1018" s="60"/>
      <c r="K1018" s="60"/>
      <c r="L1018" s="60"/>
      <c r="M1018" s="60"/>
    </row>
    <row r="1019">
      <c r="A1019" s="129"/>
      <c r="B1019" s="130"/>
      <c r="C1019" s="60"/>
      <c r="D1019" s="60"/>
      <c r="E1019" s="60"/>
      <c r="F1019" s="130"/>
      <c r="G1019" s="60"/>
      <c r="H1019" s="130"/>
      <c r="I1019" s="60"/>
      <c r="J1019" s="60"/>
      <c r="K1019" s="60"/>
      <c r="L1019" s="60"/>
      <c r="M1019" s="60"/>
    </row>
    <row r="1020">
      <c r="A1020" s="129"/>
      <c r="B1020" s="130"/>
      <c r="C1020" s="60"/>
      <c r="D1020" s="60"/>
      <c r="E1020" s="60"/>
      <c r="F1020" s="130"/>
      <c r="G1020" s="60"/>
      <c r="H1020" s="130"/>
      <c r="I1020" s="60"/>
      <c r="J1020" s="60"/>
      <c r="K1020" s="60"/>
      <c r="L1020" s="60"/>
      <c r="M1020" s="60"/>
    </row>
    <row r="1021">
      <c r="A1021" s="129"/>
      <c r="B1021" s="130"/>
      <c r="C1021" s="60"/>
      <c r="D1021" s="60"/>
      <c r="E1021" s="60"/>
      <c r="F1021" s="130"/>
      <c r="G1021" s="60"/>
      <c r="H1021" s="130"/>
      <c r="I1021" s="60"/>
      <c r="J1021" s="60"/>
      <c r="K1021" s="60"/>
      <c r="L1021" s="60"/>
      <c r="M1021" s="60"/>
    </row>
    <row r="1022">
      <c r="A1022" s="129"/>
      <c r="B1022" s="130"/>
      <c r="C1022" s="60"/>
      <c r="D1022" s="60"/>
      <c r="E1022" s="60"/>
      <c r="F1022" s="130"/>
      <c r="G1022" s="60"/>
      <c r="H1022" s="130"/>
      <c r="I1022" s="60"/>
      <c r="J1022" s="60"/>
      <c r="K1022" s="60"/>
      <c r="L1022" s="60"/>
      <c r="M1022" s="60"/>
    </row>
    <row r="1023">
      <c r="A1023" s="129"/>
      <c r="B1023" s="130"/>
      <c r="C1023" s="60"/>
      <c r="D1023" s="60"/>
      <c r="E1023" s="60"/>
      <c r="F1023" s="130"/>
      <c r="G1023" s="60"/>
      <c r="H1023" s="130"/>
      <c r="I1023" s="60"/>
      <c r="J1023" s="60"/>
      <c r="K1023" s="60"/>
      <c r="L1023" s="60"/>
      <c r="M1023" s="60"/>
    </row>
    <row r="1024">
      <c r="A1024" s="129"/>
      <c r="B1024" s="130"/>
      <c r="C1024" s="60"/>
      <c r="D1024" s="60"/>
      <c r="E1024" s="60"/>
      <c r="F1024" s="130"/>
      <c r="G1024" s="60"/>
      <c r="H1024" s="130"/>
      <c r="I1024" s="60"/>
      <c r="J1024" s="60"/>
      <c r="K1024" s="60"/>
      <c r="L1024" s="60"/>
      <c r="M1024" s="60"/>
    </row>
    <row r="1025">
      <c r="A1025" s="129"/>
      <c r="B1025" s="130"/>
      <c r="C1025" s="60"/>
      <c r="D1025" s="60"/>
      <c r="E1025" s="60"/>
      <c r="F1025" s="130"/>
      <c r="G1025" s="60"/>
      <c r="H1025" s="130"/>
      <c r="I1025" s="60"/>
      <c r="J1025" s="60"/>
      <c r="K1025" s="60"/>
      <c r="L1025" s="60"/>
      <c r="M1025" s="60"/>
    </row>
    <row r="1026">
      <c r="A1026" s="129"/>
      <c r="B1026" s="130"/>
      <c r="C1026" s="60"/>
      <c r="D1026" s="60"/>
      <c r="E1026" s="60"/>
      <c r="F1026" s="130"/>
      <c r="G1026" s="60"/>
      <c r="H1026" s="130"/>
      <c r="I1026" s="60"/>
      <c r="J1026" s="60"/>
      <c r="K1026" s="60"/>
      <c r="L1026" s="60"/>
      <c r="M1026" s="60"/>
    </row>
    <row r="1027">
      <c r="A1027" s="129"/>
      <c r="B1027" s="130"/>
      <c r="C1027" s="60"/>
      <c r="D1027" s="60"/>
      <c r="E1027" s="60"/>
      <c r="F1027" s="130"/>
      <c r="G1027" s="60"/>
      <c r="H1027" s="130"/>
      <c r="I1027" s="60"/>
      <c r="J1027" s="60"/>
      <c r="K1027" s="60"/>
      <c r="L1027" s="60"/>
      <c r="M1027" s="60"/>
    </row>
    <row r="1028">
      <c r="A1028" s="129"/>
      <c r="B1028" s="130"/>
      <c r="C1028" s="60"/>
      <c r="D1028" s="60"/>
      <c r="E1028" s="60"/>
      <c r="F1028" s="130"/>
      <c r="G1028" s="60"/>
      <c r="H1028" s="130"/>
      <c r="I1028" s="60"/>
      <c r="J1028" s="60"/>
      <c r="K1028" s="60"/>
      <c r="L1028" s="60"/>
      <c r="M1028" s="60"/>
    </row>
    <row r="1029">
      <c r="A1029" s="129"/>
      <c r="B1029" s="130"/>
      <c r="C1029" s="60"/>
      <c r="D1029" s="60"/>
      <c r="E1029" s="60"/>
      <c r="F1029" s="130"/>
      <c r="G1029" s="60"/>
      <c r="H1029" s="130"/>
      <c r="I1029" s="60"/>
      <c r="J1029" s="60"/>
      <c r="K1029" s="60"/>
      <c r="L1029" s="60"/>
      <c r="M1029" s="60"/>
    </row>
    <row r="1030">
      <c r="A1030" s="129"/>
      <c r="B1030" s="130"/>
      <c r="C1030" s="60"/>
      <c r="D1030" s="60"/>
      <c r="E1030" s="60"/>
      <c r="F1030" s="130"/>
      <c r="G1030" s="60"/>
      <c r="H1030" s="130"/>
      <c r="I1030" s="60"/>
      <c r="J1030" s="60"/>
      <c r="K1030" s="60"/>
      <c r="L1030" s="60"/>
      <c r="M1030" s="60"/>
    </row>
    <row r="1031">
      <c r="A1031" s="129"/>
      <c r="B1031" s="130"/>
      <c r="C1031" s="60"/>
      <c r="D1031" s="60"/>
      <c r="E1031" s="60"/>
      <c r="F1031" s="130"/>
      <c r="G1031" s="60"/>
      <c r="H1031" s="130"/>
      <c r="I1031" s="60"/>
      <c r="J1031" s="60"/>
      <c r="K1031" s="60"/>
      <c r="L1031" s="60"/>
      <c r="M1031" s="60"/>
    </row>
    <row r="1032">
      <c r="A1032" s="129"/>
      <c r="B1032" s="130"/>
      <c r="C1032" s="60"/>
      <c r="D1032" s="60"/>
      <c r="E1032" s="60"/>
      <c r="F1032" s="130"/>
      <c r="G1032" s="60"/>
      <c r="H1032" s="130"/>
      <c r="I1032" s="60"/>
      <c r="J1032" s="60"/>
      <c r="K1032" s="60"/>
      <c r="L1032" s="60"/>
      <c r="M1032" s="60"/>
    </row>
    <row r="1033">
      <c r="A1033" s="129"/>
      <c r="B1033" s="130"/>
      <c r="C1033" s="60"/>
      <c r="D1033" s="60"/>
      <c r="E1033" s="60"/>
      <c r="F1033" s="130"/>
      <c r="G1033" s="60"/>
      <c r="H1033" s="130"/>
      <c r="I1033" s="60"/>
      <c r="J1033" s="60"/>
      <c r="K1033" s="60"/>
      <c r="L1033" s="60"/>
      <c r="M1033" s="60"/>
    </row>
    <row r="1034">
      <c r="A1034" s="129"/>
      <c r="B1034" s="130"/>
      <c r="C1034" s="60"/>
      <c r="D1034" s="60"/>
      <c r="E1034" s="60"/>
      <c r="F1034" s="130"/>
      <c r="G1034" s="60"/>
      <c r="H1034" s="130"/>
      <c r="I1034" s="60"/>
      <c r="J1034" s="60"/>
      <c r="K1034" s="60"/>
      <c r="L1034" s="60"/>
      <c r="M1034" s="60"/>
    </row>
    <row r="1035">
      <c r="A1035" s="129"/>
      <c r="B1035" s="130"/>
      <c r="C1035" s="60"/>
      <c r="D1035" s="60"/>
      <c r="E1035" s="60"/>
      <c r="F1035" s="130"/>
      <c r="G1035" s="60"/>
      <c r="H1035" s="130"/>
      <c r="I1035" s="60"/>
      <c r="J1035" s="60"/>
      <c r="K1035" s="60"/>
      <c r="L1035" s="60"/>
      <c r="M1035" s="60"/>
    </row>
    <row r="1036">
      <c r="A1036" s="129"/>
      <c r="B1036" s="130"/>
      <c r="C1036" s="60"/>
      <c r="D1036" s="60"/>
      <c r="E1036" s="60"/>
      <c r="F1036" s="130"/>
      <c r="G1036" s="60"/>
      <c r="H1036" s="130"/>
      <c r="I1036" s="60"/>
      <c r="J1036" s="60"/>
      <c r="K1036" s="60"/>
      <c r="L1036" s="60"/>
      <c r="M1036" s="60"/>
    </row>
    <row r="1037">
      <c r="A1037" s="129"/>
      <c r="B1037" s="130"/>
      <c r="C1037" s="60"/>
      <c r="D1037" s="60"/>
      <c r="E1037" s="60"/>
      <c r="F1037" s="130"/>
      <c r="G1037" s="60"/>
      <c r="H1037" s="130"/>
      <c r="I1037" s="60"/>
      <c r="J1037" s="60"/>
      <c r="K1037" s="60"/>
      <c r="L1037" s="60"/>
      <c r="M1037" s="60"/>
    </row>
    <row r="1038">
      <c r="A1038" s="129"/>
      <c r="B1038" s="130"/>
      <c r="C1038" s="60"/>
      <c r="D1038" s="60"/>
      <c r="E1038" s="60"/>
      <c r="F1038" s="130"/>
      <c r="G1038" s="60"/>
      <c r="H1038" s="130"/>
      <c r="I1038" s="60"/>
      <c r="J1038" s="60"/>
      <c r="K1038" s="60"/>
      <c r="L1038" s="60"/>
      <c r="M1038" s="60"/>
    </row>
    <row r="1039">
      <c r="A1039" s="129"/>
      <c r="B1039" s="130"/>
      <c r="C1039" s="60"/>
      <c r="D1039" s="60"/>
      <c r="E1039" s="60"/>
      <c r="F1039" s="130"/>
      <c r="G1039" s="60"/>
      <c r="H1039" s="130"/>
      <c r="I1039" s="60"/>
      <c r="J1039" s="60"/>
      <c r="K1039" s="60"/>
      <c r="L1039" s="60"/>
      <c r="M1039" s="60"/>
    </row>
    <row r="1040">
      <c r="A1040" s="129"/>
      <c r="B1040" s="130"/>
      <c r="C1040" s="60"/>
      <c r="D1040" s="60"/>
      <c r="E1040" s="60"/>
      <c r="F1040" s="130"/>
      <c r="G1040" s="60"/>
      <c r="H1040" s="130"/>
      <c r="I1040" s="60"/>
      <c r="J1040" s="60"/>
      <c r="K1040" s="60"/>
      <c r="L1040" s="60"/>
      <c r="M1040" s="60"/>
    </row>
    <row r="1041">
      <c r="A1041" s="129"/>
      <c r="B1041" s="130"/>
      <c r="C1041" s="60"/>
      <c r="D1041" s="60"/>
      <c r="E1041" s="60"/>
      <c r="F1041" s="130"/>
      <c r="G1041" s="60"/>
      <c r="H1041" s="130"/>
      <c r="I1041" s="60"/>
      <c r="J1041" s="60"/>
      <c r="K1041" s="60"/>
      <c r="L1041" s="60"/>
      <c r="M1041" s="60"/>
    </row>
    <row r="1042">
      <c r="A1042" s="129"/>
      <c r="B1042" s="130"/>
      <c r="C1042" s="60"/>
      <c r="D1042" s="60"/>
      <c r="E1042" s="60"/>
      <c r="F1042" s="130"/>
      <c r="G1042" s="60"/>
      <c r="H1042" s="130"/>
      <c r="I1042" s="60"/>
      <c r="J1042" s="60"/>
      <c r="K1042" s="60"/>
      <c r="L1042" s="60"/>
      <c r="M1042" s="60"/>
    </row>
    <row r="1043">
      <c r="A1043" s="129"/>
      <c r="B1043" s="130"/>
      <c r="C1043" s="60"/>
      <c r="D1043" s="60"/>
      <c r="E1043" s="60"/>
      <c r="F1043" s="130"/>
      <c r="G1043" s="60"/>
      <c r="H1043" s="130"/>
      <c r="I1043" s="60"/>
      <c r="J1043" s="60"/>
      <c r="K1043" s="60"/>
      <c r="L1043" s="60"/>
      <c r="M1043" s="60"/>
    </row>
    <row r="1044">
      <c r="A1044" s="129"/>
      <c r="B1044" s="130"/>
      <c r="C1044" s="60"/>
      <c r="D1044" s="60"/>
      <c r="E1044" s="60"/>
      <c r="F1044" s="130"/>
      <c r="G1044" s="60"/>
      <c r="H1044" s="130"/>
      <c r="I1044" s="60"/>
      <c r="J1044" s="60"/>
      <c r="K1044" s="60"/>
      <c r="L1044" s="60"/>
      <c r="M1044" s="60"/>
    </row>
    <row r="1045">
      <c r="A1045" s="129"/>
      <c r="B1045" s="130"/>
      <c r="C1045" s="60"/>
      <c r="D1045" s="60"/>
      <c r="E1045" s="60"/>
      <c r="F1045" s="130"/>
      <c r="G1045" s="60"/>
      <c r="H1045" s="130"/>
      <c r="I1045" s="60"/>
      <c r="J1045" s="60"/>
      <c r="K1045" s="60"/>
      <c r="L1045" s="60"/>
      <c r="M1045" s="60"/>
    </row>
    <row r="1046">
      <c r="A1046" s="129"/>
      <c r="B1046" s="130"/>
      <c r="C1046" s="60"/>
      <c r="D1046" s="60"/>
      <c r="E1046" s="60"/>
      <c r="F1046" s="130"/>
      <c r="G1046" s="60"/>
      <c r="H1046" s="130"/>
      <c r="I1046" s="60"/>
      <c r="J1046" s="60"/>
      <c r="K1046" s="60"/>
      <c r="L1046" s="60"/>
      <c r="M1046" s="60"/>
    </row>
    <row r="1047">
      <c r="A1047" s="129"/>
      <c r="B1047" s="130"/>
      <c r="C1047" s="60"/>
      <c r="D1047" s="60"/>
      <c r="E1047" s="60"/>
      <c r="F1047" s="130"/>
      <c r="G1047" s="60"/>
      <c r="H1047" s="130"/>
      <c r="I1047" s="60"/>
      <c r="J1047" s="60"/>
      <c r="K1047" s="60"/>
      <c r="L1047" s="60"/>
      <c r="M1047" s="60"/>
    </row>
    <row r="1048">
      <c r="A1048" s="129"/>
      <c r="B1048" s="130"/>
      <c r="C1048" s="60"/>
      <c r="D1048" s="60"/>
      <c r="E1048" s="60"/>
      <c r="F1048" s="130"/>
      <c r="G1048" s="60"/>
      <c r="H1048" s="130"/>
      <c r="I1048" s="60"/>
      <c r="J1048" s="60"/>
      <c r="K1048" s="60"/>
      <c r="L1048" s="60"/>
      <c r="M1048" s="60"/>
    </row>
    <row r="1049">
      <c r="A1049" s="129"/>
      <c r="B1049" s="130"/>
      <c r="C1049" s="60"/>
      <c r="D1049" s="60"/>
      <c r="E1049" s="60"/>
      <c r="F1049" s="130"/>
      <c r="G1049" s="60"/>
      <c r="H1049" s="130"/>
      <c r="I1049" s="60"/>
      <c r="J1049" s="60"/>
      <c r="K1049" s="60"/>
      <c r="L1049" s="60"/>
      <c r="M1049" s="60"/>
    </row>
    <row r="1050">
      <c r="A1050" s="129"/>
      <c r="B1050" s="130"/>
      <c r="C1050" s="60"/>
      <c r="D1050" s="60"/>
      <c r="E1050" s="60"/>
      <c r="F1050" s="130"/>
      <c r="G1050" s="60"/>
      <c r="H1050" s="130"/>
      <c r="I1050" s="60"/>
      <c r="J1050" s="60"/>
      <c r="K1050" s="60"/>
      <c r="L1050" s="60"/>
      <c r="M1050" s="60"/>
    </row>
    <row r="1051">
      <c r="A1051" s="129"/>
      <c r="B1051" s="130"/>
      <c r="C1051" s="60"/>
      <c r="D1051" s="60"/>
      <c r="E1051" s="60"/>
      <c r="F1051" s="130"/>
      <c r="G1051" s="60"/>
      <c r="H1051" s="130"/>
      <c r="I1051" s="60"/>
      <c r="J1051" s="60"/>
      <c r="K1051" s="60"/>
      <c r="L1051" s="60"/>
      <c r="M1051" s="60"/>
    </row>
    <row r="1052">
      <c r="A1052" s="129"/>
      <c r="B1052" s="130"/>
      <c r="C1052" s="60"/>
      <c r="D1052" s="60"/>
      <c r="E1052" s="60"/>
      <c r="F1052" s="130"/>
      <c r="G1052" s="60"/>
      <c r="H1052" s="130"/>
      <c r="I1052" s="60"/>
      <c r="J1052" s="60"/>
      <c r="K1052" s="60"/>
      <c r="L1052" s="60"/>
      <c r="M1052" s="60"/>
    </row>
    <row r="1053">
      <c r="A1053" s="129"/>
      <c r="B1053" s="130"/>
      <c r="C1053" s="60"/>
      <c r="D1053" s="60"/>
      <c r="E1053" s="60"/>
      <c r="F1053" s="130"/>
      <c r="G1053" s="60"/>
      <c r="H1053" s="130"/>
      <c r="I1053" s="60"/>
      <c r="J1053" s="60"/>
      <c r="K1053" s="60"/>
      <c r="L1053" s="60"/>
      <c r="M1053" s="60"/>
    </row>
    <row r="1054">
      <c r="A1054" s="129"/>
      <c r="B1054" s="130"/>
      <c r="C1054" s="60"/>
      <c r="D1054" s="60"/>
      <c r="E1054" s="60"/>
      <c r="F1054" s="130"/>
      <c r="G1054" s="60"/>
      <c r="H1054" s="130"/>
      <c r="I1054" s="60"/>
      <c r="J1054" s="60"/>
      <c r="K1054" s="60"/>
      <c r="L1054" s="60"/>
      <c r="M1054" s="60"/>
    </row>
    <row r="1055">
      <c r="A1055" s="129"/>
      <c r="B1055" s="130"/>
      <c r="C1055" s="60"/>
      <c r="D1055" s="60"/>
      <c r="E1055" s="60"/>
      <c r="F1055" s="130"/>
      <c r="G1055" s="60"/>
      <c r="H1055" s="130"/>
      <c r="I1055" s="60"/>
      <c r="J1055" s="60"/>
      <c r="K1055" s="60"/>
      <c r="L1055" s="60"/>
      <c r="M1055" s="60"/>
    </row>
    <row r="1056">
      <c r="A1056" s="129"/>
      <c r="B1056" s="130"/>
      <c r="C1056" s="60"/>
      <c r="D1056" s="60"/>
      <c r="E1056" s="60"/>
      <c r="F1056" s="130"/>
      <c r="G1056" s="60"/>
      <c r="H1056" s="130"/>
      <c r="I1056" s="60"/>
      <c r="J1056" s="60"/>
      <c r="K1056" s="60"/>
      <c r="L1056" s="60"/>
      <c r="M1056" s="60"/>
    </row>
    <row r="1057">
      <c r="A1057" s="129"/>
      <c r="B1057" s="130"/>
      <c r="C1057" s="60"/>
      <c r="D1057" s="60"/>
      <c r="E1057" s="60"/>
      <c r="F1057" s="130"/>
      <c r="G1057" s="60"/>
      <c r="H1057" s="130"/>
      <c r="I1057" s="60"/>
      <c r="J1057" s="60"/>
      <c r="K1057" s="60"/>
      <c r="L1057" s="60"/>
      <c r="M1057" s="60"/>
    </row>
    <row r="1058">
      <c r="A1058" s="129"/>
      <c r="B1058" s="130"/>
      <c r="C1058" s="60"/>
      <c r="D1058" s="60"/>
      <c r="E1058" s="60"/>
      <c r="F1058" s="130"/>
      <c r="G1058" s="60"/>
      <c r="H1058" s="130"/>
      <c r="I1058" s="60"/>
      <c r="J1058" s="60"/>
      <c r="K1058" s="60"/>
      <c r="L1058" s="60"/>
      <c r="M1058" s="60"/>
    </row>
    <row r="1059">
      <c r="A1059" s="129"/>
      <c r="B1059" s="130"/>
      <c r="C1059" s="60"/>
      <c r="D1059" s="60"/>
      <c r="E1059" s="60"/>
      <c r="F1059" s="130"/>
      <c r="G1059" s="60"/>
      <c r="H1059" s="130"/>
      <c r="I1059" s="60"/>
      <c r="J1059" s="60"/>
      <c r="K1059" s="60"/>
      <c r="L1059" s="60"/>
      <c r="M1059" s="60"/>
    </row>
    <row r="1060">
      <c r="A1060" s="129"/>
      <c r="B1060" s="130"/>
      <c r="C1060" s="60"/>
      <c r="D1060" s="60"/>
      <c r="E1060" s="60"/>
      <c r="F1060" s="130"/>
      <c r="G1060" s="60"/>
      <c r="H1060" s="130"/>
      <c r="I1060" s="60"/>
      <c r="J1060" s="60"/>
      <c r="K1060" s="60"/>
      <c r="L1060" s="60"/>
      <c r="M1060" s="60"/>
    </row>
    <row r="1061">
      <c r="A1061" s="129"/>
      <c r="B1061" s="130"/>
      <c r="C1061" s="60"/>
      <c r="D1061" s="60"/>
      <c r="E1061" s="60"/>
      <c r="F1061" s="130"/>
      <c r="G1061" s="60"/>
      <c r="H1061" s="130"/>
      <c r="I1061" s="60"/>
      <c r="J1061" s="60"/>
      <c r="K1061" s="60"/>
      <c r="L1061" s="60"/>
      <c r="M1061" s="60"/>
    </row>
    <row r="1062">
      <c r="A1062" s="129"/>
      <c r="B1062" s="130"/>
      <c r="C1062" s="60"/>
      <c r="D1062" s="60"/>
      <c r="E1062" s="60"/>
      <c r="F1062" s="130"/>
      <c r="G1062" s="60"/>
      <c r="H1062" s="130"/>
      <c r="I1062" s="60"/>
      <c r="J1062" s="60"/>
      <c r="K1062" s="60"/>
      <c r="L1062" s="60"/>
      <c r="M1062" s="60"/>
    </row>
    <row r="1063">
      <c r="A1063" s="129"/>
      <c r="B1063" s="130"/>
      <c r="C1063" s="60"/>
      <c r="D1063" s="60"/>
      <c r="E1063" s="60"/>
      <c r="F1063" s="130"/>
      <c r="G1063" s="60"/>
      <c r="H1063" s="130"/>
      <c r="I1063" s="60"/>
      <c r="J1063" s="60"/>
      <c r="K1063" s="60"/>
      <c r="L1063" s="60"/>
      <c r="M1063" s="60"/>
    </row>
    <row r="1064">
      <c r="A1064" s="129"/>
      <c r="B1064" s="130"/>
      <c r="C1064" s="60"/>
      <c r="D1064" s="60"/>
      <c r="E1064" s="60"/>
      <c r="F1064" s="130"/>
      <c r="G1064" s="60"/>
      <c r="H1064" s="130"/>
      <c r="I1064" s="60"/>
      <c r="J1064" s="60"/>
      <c r="K1064" s="60"/>
      <c r="L1064" s="60"/>
      <c r="M1064" s="60"/>
    </row>
    <row r="1065">
      <c r="A1065" s="129"/>
      <c r="B1065" s="130"/>
      <c r="C1065" s="60"/>
      <c r="D1065" s="60"/>
      <c r="E1065" s="60"/>
      <c r="F1065" s="130"/>
      <c r="G1065" s="60"/>
      <c r="H1065" s="130"/>
      <c r="I1065" s="60"/>
      <c r="J1065" s="60"/>
      <c r="K1065" s="60"/>
      <c r="L1065" s="60"/>
      <c r="M1065" s="60"/>
    </row>
    <row r="1066">
      <c r="A1066" s="129"/>
      <c r="B1066" s="130"/>
      <c r="C1066" s="60"/>
      <c r="D1066" s="60"/>
      <c r="E1066" s="60"/>
      <c r="F1066" s="130"/>
      <c r="G1066" s="60"/>
      <c r="H1066" s="130"/>
      <c r="I1066" s="60"/>
      <c r="J1066" s="60"/>
      <c r="K1066" s="60"/>
      <c r="L1066" s="60"/>
      <c r="M1066" s="60"/>
    </row>
    <row r="1067">
      <c r="A1067" s="129"/>
      <c r="B1067" s="130"/>
      <c r="C1067" s="60"/>
      <c r="D1067" s="60"/>
      <c r="E1067" s="60"/>
      <c r="F1067" s="130"/>
      <c r="G1067" s="60"/>
      <c r="H1067" s="130"/>
      <c r="I1067" s="60"/>
      <c r="J1067" s="60"/>
      <c r="K1067" s="60"/>
      <c r="L1067" s="60"/>
      <c r="M1067" s="60"/>
    </row>
    <row r="1068">
      <c r="A1068" s="129"/>
      <c r="B1068" s="130"/>
      <c r="C1068" s="60"/>
      <c r="D1068" s="60"/>
      <c r="E1068" s="60"/>
      <c r="F1068" s="130"/>
      <c r="G1068" s="60"/>
      <c r="H1068" s="130"/>
      <c r="I1068" s="60"/>
      <c r="J1068" s="60"/>
      <c r="K1068" s="60"/>
      <c r="L1068" s="60"/>
      <c r="M1068" s="60"/>
    </row>
    <row r="1069">
      <c r="A1069" s="129"/>
      <c r="B1069" s="130"/>
      <c r="C1069" s="60"/>
      <c r="D1069" s="60"/>
      <c r="E1069" s="60"/>
      <c r="F1069" s="130"/>
      <c r="G1069" s="60"/>
      <c r="H1069" s="130"/>
      <c r="I1069" s="60"/>
      <c r="J1069" s="60"/>
      <c r="K1069" s="60"/>
      <c r="L1069" s="60"/>
      <c r="M1069" s="60"/>
    </row>
    <row r="1070">
      <c r="A1070" s="129"/>
      <c r="B1070" s="130"/>
      <c r="C1070" s="60"/>
      <c r="D1070" s="60"/>
      <c r="E1070" s="60"/>
      <c r="F1070" s="130"/>
      <c r="G1070" s="60"/>
      <c r="H1070" s="130"/>
      <c r="I1070" s="60"/>
      <c r="J1070" s="60"/>
      <c r="K1070" s="60"/>
      <c r="L1070" s="60"/>
      <c r="M1070" s="60"/>
    </row>
    <row r="1071">
      <c r="A1071" s="129"/>
      <c r="B1071" s="130"/>
      <c r="C1071" s="60"/>
      <c r="D1071" s="60"/>
      <c r="E1071" s="60"/>
      <c r="F1071" s="130"/>
      <c r="G1071" s="60"/>
      <c r="H1071" s="130"/>
      <c r="I1071" s="60"/>
      <c r="J1071" s="60"/>
      <c r="K1071" s="60"/>
      <c r="L1071" s="60"/>
      <c r="M1071" s="60"/>
    </row>
    <row r="1072">
      <c r="A1072" s="129"/>
      <c r="B1072" s="130"/>
      <c r="C1072" s="60"/>
      <c r="D1072" s="60"/>
      <c r="E1072" s="60"/>
      <c r="F1072" s="130"/>
      <c r="G1072" s="60"/>
      <c r="H1072" s="130"/>
      <c r="I1072" s="60"/>
      <c r="J1072" s="60"/>
      <c r="K1072" s="60"/>
      <c r="L1072" s="60"/>
      <c r="M1072" s="60"/>
    </row>
    <row r="1073">
      <c r="A1073" s="129"/>
      <c r="B1073" s="130"/>
      <c r="C1073" s="60"/>
      <c r="D1073" s="60"/>
      <c r="E1073" s="60"/>
      <c r="F1073" s="130"/>
      <c r="G1073" s="60"/>
      <c r="H1073" s="130"/>
      <c r="I1073" s="60"/>
      <c r="J1073" s="60"/>
      <c r="K1073" s="60"/>
      <c r="L1073" s="60"/>
      <c r="M1073" s="60"/>
    </row>
    <row r="1074">
      <c r="A1074" s="129"/>
      <c r="B1074" s="130"/>
      <c r="C1074" s="60"/>
      <c r="D1074" s="60"/>
      <c r="E1074" s="60"/>
      <c r="F1074" s="130"/>
      <c r="G1074" s="60"/>
      <c r="H1074" s="130"/>
      <c r="I1074" s="60"/>
      <c r="J1074" s="60"/>
      <c r="K1074" s="60"/>
      <c r="L1074" s="60"/>
      <c r="M1074" s="60"/>
    </row>
    <row r="1075">
      <c r="A1075" s="129"/>
      <c r="B1075" s="130"/>
      <c r="C1075" s="60"/>
      <c r="D1075" s="60"/>
      <c r="E1075" s="60"/>
      <c r="F1075" s="130"/>
      <c r="G1075" s="60"/>
      <c r="H1075" s="130"/>
      <c r="I1075" s="60"/>
      <c r="J1075" s="60"/>
      <c r="K1075" s="60"/>
      <c r="L1075" s="60"/>
      <c r="M1075" s="60"/>
    </row>
    <row r="1076">
      <c r="A1076" s="129"/>
      <c r="B1076" s="130"/>
      <c r="C1076" s="60"/>
      <c r="D1076" s="60"/>
      <c r="E1076" s="60"/>
      <c r="F1076" s="130"/>
      <c r="G1076" s="60"/>
      <c r="H1076" s="130"/>
      <c r="I1076" s="60"/>
      <c r="J1076" s="60"/>
      <c r="K1076" s="60"/>
      <c r="L1076" s="60"/>
      <c r="M1076" s="60"/>
    </row>
    <row r="1077">
      <c r="A1077" s="129"/>
      <c r="B1077" s="130"/>
      <c r="C1077" s="60"/>
      <c r="D1077" s="60"/>
      <c r="E1077" s="60"/>
      <c r="F1077" s="130"/>
      <c r="G1077" s="60"/>
      <c r="H1077" s="130"/>
      <c r="I1077" s="60"/>
      <c r="J1077" s="60"/>
      <c r="K1077" s="60"/>
      <c r="L1077" s="60"/>
      <c r="M1077" s="60"/>
    </row>
    <row r="1078">
      <c r="A1078" s="129"/>
      <c r="B1078" s="130"/>
      <c r="C1078" s="60"/>
      <c r="D1078" s="60"/>
      <c r="E1078" s="60"/>
      <c r="F1078" s="130"/>
      <c r="G1078" s="60"/>
      <c r="H1078" s="130"/>
      <c r="I1078" s="60"/>
      <c r="J1078" s="60"/>
      <c r="K1078" s="60"/>
      <c r="L1078" s="60"/>
      <c r="M1078" s="60"/>
    </row>
    <row r="1079">
      <c r="A1079" s="129"/>
      <c r="B1079" s="130"/>
      <c r="C1079" s="60"/>
      <c r="D1079" s="60"/>
      <c r="E1079" s="60"/>
      <c r="F1079" s="130"/>
      <c r="G1079" s="60"/>
      <c r="H1079" s="130"/>
      <c r="I1079" s="60"/>
      <c r="J1079" s="60"/>
      <c r="K1079" s="60"/>
      <c r="L1079" s="60"/>
      <c r="M1079" s="60"/>
    </row>
    <row r="1080">
      <c r="A1080" s="129"/>
      <c r="B1080" s="130"/>
      <c r="C1080" s="60"/>
      <c r="D1080" s="60"/>
      <c r="E1080" s="60"/>
      <c r="F1080" s="130"/>
      <c r="G1080" s="60"/>
      <c r="H1080" s="130"/>
      <c r="I1080" s="60"/>
      <c r="J1080" s="60"/>
      <c r="K1080" s="60"/>
      <c r="L1080" s="60"/>
      <c r="M1080" s="60"/>
    </row>
    <row r="1081">
      <c r="A1081" s="129"/>
      <c r="B1081" s="130"/>
      <c r="C1081" s="60"/>
      <c r="D1081" s="60"/>
      <c r="E1081" s="60"/>
      <c r="F1081" s="130"/>
      <c r="G1081" s="60"/>
      <c r="H1081" s="130"/>
      <c r="I1081" s="60"/>
      <c r="J1081" s="60"/>
      <c r="K1081" s="60"/>
      <c r="L1081" s="60"/>
      <c r="M1081" s="60"/>
    </row>
    <row r="1082">
      <c r="A1082" s="129"/>
      <c r="B1082" s="130"/>
      <c r="C1082" s="60"/>
      <c r="D1082" s="60"/>
      <c r="E1082" s="60"/>
      <c r="F1082" s="130"/>
      <c r="G1082" s="60"/>
      <c r="H1082" s="130"/>
      <c r="I1082" s="60"/>
      <c r="J1082" s="60"/>
      <c r="K1082" s="60"/>
      <c r="L1082" s="60"/>
      <c r="M1082" s="60"/>
    </row>
    <row r="1083">
      <c r="A1083" s="129"/>
      <c r="B1083" s="130"/>
      <c r="C1083" s="60"/>
      <c r="D1083" s="60"/>
      <c r="E1083" s="60"/>
      <c r="F1083" s="130"/>
      <c r="G1083" s="60"/>
      <c r="H1083" s="130"/>
      <c r="I1083" s="60"/>
      <c r="J1083" s="60"/>
      <c r="K1083" s="60"/>
      <c r="L1083" s="60"/>
      <c r="M1083" s="60"/>
    </row>
    <row r="1084">
      <c r="A1084" s="129"/>
      <c r="B1084" s="130"/>
      <c r="C1084" s="60"/>
      <c r="D1084" s="60"/>
      <c r="E1084" s="60"/>
      <c r="F1084" s="130"/>
      <c r="G1084" s="60"/>
      <c r="H1084" s="130"/>
      <c r="I1084" s="60"/>
      <c r="J1084" s="60"/>
      <c r="K1084" s="60"/>
      <c r="L1084" s="60"/>
      <c r="M1084" s="60"/>
    </row>
    <row r="1085">
      <c r="A1085" s="129"/>
      <c r="B1085" s="130"/>
      <c r="C1085" s="60"/>
      <c r="D1085" s="60"/>
      <c r="E1085" s="60"/>
      <c r="F1085" s="130"/>
      <c r="G1085" s="60"/>
      <c r="H1085" s="130"/>
      <c r="I1085" s="60"/>
      <c r="J1085" s="60"/>
      <c r="K1085" s="60"/>
      <c r="L1085" s="60"/>
      <c r="M1085" s="60"/>
    </row>
    <row r="1086">
      <c r="A1086" s="129"/>
      <c r="B1086" s="130"/>
      <c r="C1086" s="60"/>
      <c r="D1086" s="60"/>
      <c r="E1086" s="60"/>
      <c r="F1086" s="130"/>
      <c r="G1086" s="60"/>
      <c r="H1086" s="130"/>
      <c r="I1086" s="60"/>
      <c r="J1086" s="60"/>
      <c r="K1086" s="60"/>
      <c r="L1086" s="60"/>
      <c r="M1086" s="60"/>
    </row>
    <row r="1087">
      <c r="A1087" s="129"/>
      <c r="B1087" s="130"/>
      <c r="C1087" s="60"/>
      <c r="D1087" s="60"/>
      <c r="E1087" s="60"/>
      <c r="F1087" s="130"/>
      <c r="G1087" s="60"/>
      <c r="H1087" s="130"/>
      <c r="I1087" s="60"/>
      <c r="J1087" s="60"/>
      <c r="K1087" s="60"/>
      <c r="L1087" s="60"/>
      <c r="M1087" s="60"/>
    </row>
    <row r="1088">
      <c r="A1088" s="129"/>
      <c r="B1088" s="130"/>
      <c r="C1088" s="60"/>
      <c r="D1088" s="60"/>
      <c r="E1088" s="60"/>
      <c r="F1088" s="130"/>
      <c r="G1088" s="60"/>
      <c r="H1088" s="130"/>
      <c r="I1088" s="60"/>
      <c r="J1088" s="60"/>
      <c r="K1088" s="60"/>
      <c r="L1088" s="60"/>
      <c r="M1088" s="60"/>
    </row>
    <row r="1089">
      <c r="A1089" s="129"/>
      <c r="B1089" s="130"/>
      <c r="C1089" s="60"/>
      <c r="D1089" s="60"/>
      <c r="E1089" s="60"/>
      <c r="F1089" s="130"/>
      <c r="G1089" s="60"/>
      <c r="H1089" s="130"/>
      <c r="I1089" s="60"/>
      <c r="J1089" s="60"/>
      <c r="K1089" s="60"/>
      <c r="L1089" s="60"/>
      <c r="M1089" s="60"/>
    </row>
    <row r="1090">
      <c r="A1090" s="129"/>
      <c r="B1090" s="130"/>
      <c r="C1090" s="60"/>
      <c r="D1090" s="60"/>
      <c r="E1090" s="60"/>
      <c r="F1090" s="130"/>
      <c r="G1090" s="60"/>
      <c r="H1090" s="130"/>
      <c r="I1090" s="60"/>
      <c r="J1090" s="60"/>
      <c r="K1090" s="60"/>
      <c r="L1090" s="60"/>
      <c r="M1090" s="60"/>
    </row>
    <row r="1091">
      <c r="A1091" s="129"/>
      <c r="B1091" s="130"/>
      <c r="C1091" s="60"/>
      <c r="D1091" s="60"/>
      <c r="E1091" s="60"/>
      <c r="F1091" s="130"/>
      <c r="G1091" s="60"/>
      <c r="H1091" s="130"/>
      <c r="I1091" s="60"/>
      <c r="J1091" s="60"/>
      <c r="K1091" s="60"/>
      <c r="L1091" s="60"/>
      <c r="M1091" s="60"/>
    </row>
    <row r="1092">
      <c r="A1092" s="129"/>
      <c r="B1092" s="130"/>
      <c r="C1092" s="60"/>
      <c r="D1092" s="60"/>
      <c r="E1092" s="60"/>
      <c r="F1092" s="130"/>
      <c r="G1092" s="60"/>
      <c r="H1092" s="130"/>
      <c r="I1092" s="60"/>
      <c r="J1092" s="60"/>
      <c r="K1092" s="60"/>
      <c r="L1092" s="60"/>
      <c r="M1092" s="60"/>
    </row>
    <row r="1093">
      <c r="A1093" s="129"/>
      <c r="B1093" s="130"/>
      <c r="C1093" s="60"/>
      <c r="D1093" s="60"/>
      <c r="E1093" s="60"/>
      <c r="F1093" s="130"/>
      <c r="G1093" s="60"/>
      <c r="H1093" s="130"/>
      <c r="I1093" s="60"/>
      <c r="J1093" s="60"/>
      <c r="K1093" s="60"/>
      <c r="L1093" s="60"/>
      <c r="M1093" s="60"/>
    </row>
    <row r="1094">
      <c r="A1094" s="129"/>
      <c r="B1094" s="130"/>
      <c r="C1094" s="60"/>
      <c r="D1094" s="60"/>
      <c r="E1094" s="60"/>
      <c r="F1094" s="130"/>
      <c r="G1094" s="60"/>
      <c r="H1094" s="130"/>
      <c r="I1094" s="60"/>
      <c r="J1094" s="60"/>
      <c r="K1094" s="60"/>
      <c r="L1094" s="60"/>
      <c r="M1094" s="60"/>
    </row>
    <row r="1095">
      <c r="A1095" s="129"/>
      <c r="B1095" s="130"/>
      <c r="C1095" s="60"/>
      <c r="D1095" s="60"/>
      <c r="E1095" s="60"/>
      <c r="F1095" s="130"/>
      <c r="G1095" s="60"/>
      <c r="H1095" s="130"/>
      <c r="I1095" s="60"/>
      <c r="J1095" s="60"/>
      <c r="K1095" s="60"/>
      <c r="L1095" s="60"/>
      <c r="M1095" s="60"/>
    </row>
    <row r="1096">
      <c r="A1096" s="129"/>
      <c r="B1096" s="130"/>
      <c r="C1096" s="60"/>
      <c r="D1096" s="60"/>
      <c r="E1096" s="60"/>
      <c r="F1096" s="130"/>
      <c r="G1096" s="60"/>
      <c r="H1096" s="130"/>
      <c r="I1096" s="60"/>
      <c r="J1096" s="60"/>
      <c r="K1096" s="60"/>
      <c r="L1096" s="60"/>
      <c r="M1096" s="60"/>
    </row>
    <row r="1097">
      <c r="A1097" s="129"/>
      <c r="B1097" s="130"/>
      <c r="C1097" s="60"/>
      <c r="D1097" s="60"/>
      <c r="E1097" s="60"/>
      <c r="F1097" s="130"/>
      <c r="G1097" s="60"/>
      <c r="H1097" s="130"/>
      <c r="I1097" s="60"/>
      <c r="J1097" s="60"/>
      <c r="K1097" s="60"/>
      <c r="L1097" s="60"/>
      <c r="M1097" s="60"/>
    </row>
    <row r="1098">
      <c r="A1098" s="129"/>
      <c r="B1098" s="130"/>
      <c r="C1098" s="60"/>
      <c r="D1098" s="60"/>
      <c r="E1098" s="60"/>
      <c r="F1098" s="130"/>
      <c r="G1098" s="60"/>
      <c r="H1098" s="130"/>
      <c r="I1098" s="60"/>
      <c r="J1098" s="60"/>
      <c r="K1098" s="60"/>
      <c r="L1098" s="60"/>
      <c r="M1098" s="60"/>
    </row>
    <row r="1099">
      <c r="A1099" s="129"/>
      <c r="B1099" s="130"/>
      <c r="C1099" s="60"/>
      <c r="D1099" s="60"/>
      <c r="E1099" s="60"/>
      <c r="F1099" s="130"/>
      <c r="G1099" s="60"/>
      <c r="H1099" s="130"/>
      <c r="I1099" s="60"/>
      <c r="J1099" s="60"/>
      <c r="K1099" s="60"/>
      <c r="L1099" s="60"/>
      <c r="M1099" s="60"/>
    </row>
    <row r="1100">
      <c r="A1100" s="129"/>
      <c r="B1100" s="130"/>
      <c r="C1100" s="60"/>
      <c r="D1100" s="60"/>
      <c r="E1100" s="60"/>
      <c r="F1100" s="130"/>
      <c r="G1100" s="60"/>
      <c r="H1100" s="130"/>
      <c r="I1100" s="60"/>
      <c r="J1100" s="60"/>
      <c r="K1100" s="60"/>
      <c r="L1100" s="60"/>
      <c r="M1100" s="60"/>
    </row>
    <row r="1101">
      <c r="A1101" s="129"/>
      <c r="B1101" s="130"/>
      <c r="C1101" s="60"/>
      <c r="D1101" s="60"/>
      <c r="E1101" s="60"/>
      <c r="F1101" s="130"/>
      <c r="G1101" s="60"/>
      <c r="H1101" s="130"/>
      <c r="I1101" s="60"/>
      <c r="J1101" s="60"/>
      <c r="K1101" s="60"/>
      <c r="L1101" s="60"/>
      <c r="M1101" s="60"/>
    </row>
    <row r="1102">
      <c r="A1102" s="129"/>
      <c r="B1102" s="130"/>
      <c r="C1102" s="60"/>
      <c r="D1102" s="60"/>
      <c r="E1102" s="60"/>
      <c r="F1102" s="130"/>
      <c r="G1102" s="60"/>
      <c r="H1102" s="130"/>
      <c r="I1102" s="60"/>
      <c r="J1102" s="60"/>
      <c r="K1102" s="60"/>
      <c r="L1102" s="60"/>
      <c r="M1102" s="60"/>
    </row>
    <row r="1103">
      <c r="A1103" s="129"/>
      <c r="B1103" s="130"/>
      <c r="C1103" s="60"/>
      <c r="D1103" s="60"/>
      <c r="E1103" s="60"/>
      <c r="F1103" s="130"/>
      <c r="G1103" s="60"/>
      <c r="H1103" s="130"/>
      <c r="I1103" s="60"/>
      <c r="J1103" s="60"/>
      <c r="K1103" s="60"/>
      <c r="L1103" s="60"/>
      <c r="M1103" s="60"/>
    </row>
    <row r="1104">
      <c r="A1104" s="129"/>
      <c r="B1104" s="130"/>
      <c r="C1104" s="60"/>
      <c r="D1104" s="60"/>
      <c r="E1104" s="60"/>
      <c r="F1104" s="130"/>
      <c r="G1104" s="60"/>
      <c r="H1104" s="130"/>
      <c r="I1104" s="60"/>
      <c r="J1104" s="60"/>
      <c r="K1104" s="60"/>
      <c r="L1104" s="60"/>
      <c r="M1104" s="60"/>
    </row>
    <row r="1105">
      <c r="A1105" s="129"/>
      <c r="B1105" s="130"/>
      <c r="C1105" s="60"/>
      <c r="D1105" s="60"/>
      <c r="E1105" s="60"/>
      <c r="F1105" s="130"/>
      <c r="G1105" s="60"/>
      <c r="H1105" s="130"/>
      <c r="I1105" s="60"/>
      <c r="J1105" s="60"/>
      <c r="K1105" s="60"/>
      <c r="L1105" s="60"/>
      <c r="M1105" s="60"/>
    </row>
    <row r="1106">
      <c r="A1106" s="129"/>
      <c r="B1106" s="130"/>
      <c r="C1106" s="60"/>
      <c r="D1106" s="60"/>
      <c r="E1106" s="60"/>
      <c r="F1106" s="130"/>
      <c r="G1106" s="60"/>
      <c r="H1106" s="130"/>
      <c r="I1106" s="60"/>
      <c r="J1106" s="60"/>
      <c r="K1106" s="60"/>
      <c r="L1106" s="60"/>
      <c r="M1106" s="60"/>
    </row>
    <row r="1107">
      <c r="A1107" s="129"/>
      <c r="B1107" s="130"/>
      <c r="C1107" s="60"/>
      <c r="D1107" s="60"/>
      <c r="E1107" s="60"/>
      <c r="F1107" s="130"/>
      <c r="G1107" s="60"/>
      <c r="H1107" s="130"/>
      <c r="I1107" s="60"/>
      <c r="J1107" s="60"/>
      <c r="K1107" s="60"/>
      <c r="L1107" s="60"/>
      <c r="M1107" s="60"/>
    </row>
    <row r="1108">
      <c r="A1108" s="129"/>
      <c r="B1108" s="130"/>
      <c r="C1108" s="60"/>
      <c r="D1108" s="60"/>
      <c r="E1108" s="60"/>
      <c r="F1108" s="130"/>
      <c r="G1108" s="60"/>
      <c r="H1108" s="130"/>
      <c r="I1108" s="60"/>
      <c r="J1108" s="60"/>
      <c r="K1108" s="60"/>
      <c r="L1108" s="60"/>
      <c r="M1108" s="60"/>
    </row>
    <row r="1109">
      <c r="A1109" s="129"/>
      <c r="B1109" s="130"/>
      <c r="C1109" s="60"/>
      <c r="D1109" s="60"/>
      <c r="E1109" s="60"/>
      <c r="F1109" s="130"/>
      <c r="G1109" s="60"/>
      <c r="H1109" s="130"/>
      <c r="I1109" s="60"/>
      <c r="J1109" s="60"/>
      <c r="K1109" s="60"/>
      <c r="L1109" s="60"/>
      <c r="M1109" s="60"/>
    </row>
    <row r="1110">
      <c r="A1110" s="129"/>
      <c r="B1110" s="130"/>
      <c r="C1110" s="60"/>
      <c r="D1110" s="60"/>
      <c r="E1110" s="60"/>
      <c r="F1110" s="130"/>
      <c r="G1110" s="60"/>
      <c r="H1110" s="130"/>
      <c r="I1110" s="60"/>
      <c r="J1110" s="60"/>
      <c r="K1110" s="60"/>
      <c r="L1110" s="60"/>
      <c r="M1110" s="60"/>
    </row>
    <row r="1111">
      <c r="A1111" s="129"/>
      <c r="B1111" s="130"/>
      <c r="C1111" s="60"/>
      <c r="D1111" s="60"/>
      <c r="E1111" s="60"/>
      <c r="F1111" s="130"/>
      <c r="G1111" s="60"/>
      <c r="H1111" s="130"/>
      <c r="I1111" s="60"/>
      <c r="J1111" s="60"/>
      <c r="K1111" s="60"/>
      <c r="L1111" s="60"/>
      <c r="M1111" s="60"/>
    </row>
    <row r="1112">
      <c r="A1112" s="129"/>
      <c r="B1112" s="130"/>
      <c r="C1112" s="60"/>
      <c r="D1112" s="60"/>
      <c r="E1112" s="60"/>
      <c r="F1112" s="130"/>
      <c r="G1112" s="60"/>
      <c r="H1112" s="130"/>
      <c r="I1112" s="60"/>
      <c r="J1112" s="60"/>
      <c r="K1112" s="60"/>
      <c r="L1112" s="60"/>
      <c r="M1112" s="60"/>
    </row>
    <row r="1113">
      <c r="A1113" s="129"/>
      <c r="B1113" s="130"/>
      <c r="C1113" s="60"/>
      <c r="D1113" s="60"/>
      <c r="E1113" s="60"/>
      <c r="F1113" s="130"/>
      <c r="G1113" s="60"/>
      <c r="H1113" s="130"/>
      <c r="I1113" s="60"/>
      <c r="J1113" s="60"/>
      <c r="K1113" s="60"/>
      <c r="L1113" s="60"/>
      <c r="M1113" s="60"/>
    </row>
    <row r="1114">
      <c r="A1114" s="129"/>
      <c r="B1114" s="130"/>
      <c r="C1114" s="60"/>
      <c r="D1114" s="60"/>
      <c r="E1114" s="60"/>
      <c r="F1114" s="130"/>
      <c r="G1114" s="60"/>
      <c r="H1114" s="130"/>
      <c r="I1114" s="60"/>
      <c r="J1114" s="60"/>
      <c r="K1114" s="60"/>
      <c r="L1114" s="60"/>
      <c r="M1114" s="60"/>
    </row>
    <row r="1115">
      <c r="A1115" s="129"/>
      <c r="B1115" s="130"/>
      <c r="C1115" s="60"/>
      <c r="D1115" s="60"/>
      <c r="E1115" s="60"/>
      <c r="F1115" s="130"/>
      <c r="G1115" s="60"/>
      <c r="H1115" s="130"/>
      <c r="I1115" s="60"/>
      <c r="J1115" s="60"/>
      <c r="K1115" s="60"/>
      <c r="L1115" s="60"/>
      <c r="M1115" s="60"/>
    </row>
    <row r="1116">
      <c r="A1116" s="129"/>
      <c r="B1116" s="130"/>
      <c r="C1116" s="60"/>
      <c r="D1116" s="60"/>
      <c r="E1116" s="60"/>
      <c r="F1116" s="130"/>
      <c r="G1116" s="60"/>
      <c r="H1116" s="130"/>
      <c r="I1116" s="60"/>
      <c r="J1116" s="60"/>
      <c r="K1116" s="60"/>
      <c r="L1116" s="60"/>
      <c r="M1116" s="60"/>
    </row>
    <row r="1117">
      <c r="A1117" s="129"/>
      <c r="B1117" s="130"/>
      <c r="C1117" s="60"/>
      <c r="D1117" s="60"/>
      <c r="E1117" s="60"/>
      <c r="F1117" s="130"/>
      <c r="G1117" s="60"/>
      <c r="H1117" s="130"/>
      <c r="I1117" s="60"/>
      <c r="J1117" s="60"/>
      <c r="K1117" s="60"/>
      <c r="L1117" s="60"/>
      <c r="M1117" s="60"/>
    </row>
    <row r="1118">
      <c r="A1118" s="129"/>
      <c r="B1118" s="130"/>
      <c r="C1118" s="60"/>
      <c r="D1118" s="60"/>
      <c r="E1118" s="60"/>
      <c r="F1118" s="130"/>
      <c r="G1118" s="60"/>
      <c r="H1118" s="130"/>
      <c r="I1118" s="60"/>
      <c r="J1118" s="60"/>
      <c r="K1118" s="60"/>
      <c r="L1118" s="60"/>
      <c r="M1118" s="60"/>
    </row>
    <row r="1119">
      <c r="A1119" s="129"/>
      <c r="B1119" s="130"/>
      <c r="C1119" s="60"/>
      <c r="D1119" s="60"/>
      <c r="E1119" s="60"/>
      <c r="F1119" s="130"/>
      <c r="G1119" s="60"/>
      <c r="H1119" s="130"/>
      <c r="I1119" s="60"/>
      <c r="J1119" s="60"/>
      <c r="K1119" s="60"/>
      <c r="L1119" s="60"/>
      <c r="M1119" s="60"/>
    </row>
    <row r="1120">
      <c r="A1120" s="129"/>
      <c r="B1120" s="130"/>
      <c r="C1120" s="60"/>
      <c r="D1120" s="60"/>
      <c r="E1120" s="60"/>
      <c r="F1120" s="130"/>
      <c r="G1120" s="60"/>
      <c r="H1120" s="130"/>
      <c r="I1120" s="60"/>
      <c r="J1120" s="60"/>
      <c r="K1120" s="60"/>
      <c r="L1120" s="60"/>
      <c r="M1120" s="60"/>
    </row>
    <row r="1121">
      <c r="A1121" s="129"/>
      <c r="B1121" s="130"/>
      <c r="C1121" s="60"/>
      <c r="D1121" s="60"/>
      <c r="E1121" s="60"/>
      <c r="F1121" s="130"/>
      <c r="G1121" s="60"/>
      <c r="H1121" s="130"/>
      <c r="I1121" s="60"/>
      <c r="J1121" s="60"/>
      <c r="K1121" s="60"/>
      <c r="L1121" s="60"/>
      <c r="M1121" s="60"/>
    </row>
    <row r="1122">
      <c r="A1122" s="129"/>
      <c r="B1122" s="130"/>
      <c r="C1122" s="60"/>
      <c r="D1122" s="60"/>
      <c r="E1122" s="60"/>
      <c r="F1122" s="130"/>
      <c r="G1122" s="60"/>
      <c r="H1122" s="130"/>
      <c r="I1122" s="60"/>
      <c r="J1122" s="60"/>
      <c r="K1122" s="60"/>
      <c r="L1122" s="60"/>
      <c r="M1122" s="60"/>
    </row>
    <row r="1123">
      <c r="A1123" s="129"/>
      <c r="B1123" s="130"/>
      <c r="C1123" s="60"/>
      <c r="D1123" s="60"/>
      <c r="E1123" s="60"/>
      <c r="F1123" s="130"/>
      <c r="G1123" s="60"/>
      <c r="H1123" s="130"/>
      <c r="I1123" s="60"/>
      <c r="J1123" s="60"/>
      <c r="K1123" s="60"/>
      <c r="L1123" s="60"/>
      <c r="M1123" s="60"/>
    </row>
    <row r="1124">
      <c r="A1124" s="129"/>
      <c r="B1124" s="130"/>
      <c r="C1124" s="60"/>
      <c r="D1124" s="60"/>
      <c r="E1124" s="60"/>
      <c r="F1124" s="130"/>
      <c r="G1124" s="60"/>
      <c r="H1124" s="130"/>
      <c r="I1124" s="60"/>
      <c r="J1124" s="60"/>
      <c r="K1124" s="60"/>
      <c r="L1124" s="60"/>
      <c r="M1124" s="60"/>
    </row>
    <row r="1125">
      <c r="A1125" s="129"/>
      <c r="B1125" s="130"/>
      <c r="C1125" s="60"/>
      <c r="D1125" s="60"/>
      <c r="E1125" s="60"/>
      <c r="F1125" s="130"/>
      <c r="G1125" s="60"/>
      <c r="H1125" s="130"/>
      <c r="I1125" s="60"/>
      <c r="J1125" s="60"/>
      <c r="K1125" s="60"/>
      <c r="L1125" s="60"/>
      <c r="M1125" s="60"/>
    </row>
    <row r="1126">
      <c r="A1126" s="129"/>
      <c r="B1126" s="130"/>
      <c r="C1126" s="60"/>
      <c r="D1126" s="60"/>
      <c r="E1126" s="60"/>
      <c r="F1126" s="130"/>
      <c r="G1126" s="60"/>
      <c r="H1126" s="130"/>
      <c r="I1126" s="60"/>
      <c r="J1126" s="60"/>
      <c r="K1126" s="60"/>
      <c r="L1126" s="60"/>
      <c r="M1126" s="60"/>
    </row>
    <row r="1127">
      <c r="A1127" s="129"/>
      <c r="B1127" s="130"/>
      <c r="C1127" s="60"/>
      <c r="D1127" s="60"/>
      <c r="E1127" s="60"/>
      <c r="F1127" s="130"/>
      <c r="G1127" s="60"/>
      <c r="H1127" s="130"/>
      <c r="I1127" s="60"/>
      <c r="J1127" s="60"/>
      <c r="K1127" s="60"/>
      <c r="L1127" s="60"/>
      <c r="M1127" s="60"/>
    </row>
    <row r="1128">
      <c r="A1128" s="129"/>
      <c r="B1128" s="130"/>
      <c r="C1128" s="60"/>
      <c r="D1128" s="60"/>
      <c r="E1128" s="60"/>
      <c r="F1128" s="130"/>
      <c r="G1128" s="60"/>
      <c r="H1128" s="130"/>
      <c r="I1128" s="60"/>
      <c r="J1128" s="60"/>
      <c r="K1128" s="60"/>
      <c r="L1128" s="60"/>
      <c r="M1128" s="60"/>
    </row>
    <row r="1129">
      <c r="A1129" s="129"/>
      <c r="B1129" s="130"/>
      <c r="C1129" s="60"/>
      <c r="D1129" s="60"/>
      <c r="E1129" s="60"/>
      <c r="F1129" s="130"/>
      <c r="G1129" s="60"/>
      <c r="H1129" s="130"/>
      <c r="I1129" s="60"/>
      <c r="J1129" s="60"/>
      <c r="K1129" s="60"/>
      <c r="L1129" s="60"/>
      <c r="M1129" s="60"/>
    </row>
    <row r="1130">
      <c r="A1130" s="129"/>
      <c r="B1130" s="130"/>
      <c r="C1130" s="60"/>
      <c r="D1130" s="60"/>
      <c r="E1130" s="60"/>
      <c r="F1130" s="130"/>
      <c r="G1130" s="60"/>
      <c r="H1130" s="130"/>
      <c r="I1130" s="60"/>
      <c r="J1130" s="60"/>
      <c r="K1130" s="60"/>
      <c r="L1130" s="60"/>
      <c r="M1130" s="60"/>
    </row>
    <row r="1131">
      <c r="A1131" s="129"/>
      <c r="B1131" s="130"/>
      <c r="C1131" s="60"/>
      <c r="D1131" s="60"/>
      <c r="E1131" s="60"/>
      <c r="F1131" s="130"/>
      <c r="G1131" s="60"/>
      <c r="H1131" s="130"/>
      <c r="I1131" s="60"/>
      <c r="J1131" s="60"/>
      <c r="K1131" s="60"/>
      <c r="L1131" s="60"/>
      <c r="M1131" s="60"/>
    </row>
    <row r="1132">
      <c r="A1132" s="129"/>
      <c r="B1132" s="130"/>
      <c r="C1132" s="60"/>
      <c r="D1132" s="60"/>
      <c r="E1132" s="60"/>
      <c r="F1132" s="130"/>
      <c r="G1132" s="60"/>
      <c r="H1132" s="130"/>
      <c r="I1132" s="60"/>
      <c r="J1132" s="60"/>
      <c r="K1132" s="60"/>
      <c r="L1132" s="60"/>
      <c r="M1132" s="60"/>
    </row>
    <row r="1133">
      <c r="A1133" s="129"/>
      <c r="B1133" s="130"/>
      <c r="C1133" s="60"/>
      <c r="D1133" s="60"/>
      <c r="E1133" s="60"/>
      <c r="F1133" s="130"/>
      <c r="G1133" s="60"/>
      <c r="H1133" s="130"/>
      <c r="I1133" s="60"/>
      <c r="J1133" s="60"/>
      <c r="K1133" s="60"/>
      <c r="L1133" s="60"/>
      <c r="M1133" s="60"/>
    </row>
    <row r="1134">
      <c r="A1134" s="129"/>
      <c r="B1134" s="130"/>
      <c r="C1134" s="60"/>
      <c r="D1134" s="60"/>
      <c r="E1134" s="60"/>
      <c r="F1134" s="130"/>
      <c r="G1134" s="60"/>
      <c r="H1134" s="130"/>
      <c r="I1134" s="60"/>
      <c r="J1134" s="60"/>
      <c r="K1134" s="60"/>
      <c r="L1134" s="60"/>
      <c r="M1134" s="60"/>
    </row>
    <row r="1135">
      <c r="A1135" s="129"/>
      <c r="B1135" s="130"/>
      <c r="C1135" s="60"/>
      <c r="D1135" s="60"/>
      <c r="E1135" s="60"/>
      <c r="F1135" s="130"/>
      <c r="G1135" s="60"/>
      <c r="H1135" s="130"/>
      <c r="I1135" s="60"/>
      <c r="J1135" s="60"/>
      <c r="K1135" s="60"/>
      <c r="L1135" s="60"/>
      <c r="M1135" s="60"/>
    </row>
    <row r="1136">
      <c r="A1136" s="129"/>
      <c r="B1136" s="130"/>
      <c r="C1136" s="60"/>
      <c r="D1136" s="60"/>
      <c r="E1136" s="60"/>
      <c r="F1136" s="130"/>
      <c r="G1136" s="60"/>
      <c r="H1136" s="130"/>
      <c r="I1136" s="60"/>
      <c r="J1136" s="60"/>
      <c r="K1136" s="60"/>
      <c r="L1136" s="60"/>
      <c r="M1136" s="60"/>
    </row>
    <row r="1137">
      <c r="A1137" s="129"/>
      <c r="B1137" s="130"/>
      <c r="C1137" s="60"/>
      <c r="D1137" s="60"/>
      <c r="E1137" s="60"/>
      <c r="F1137" s="130"/>
      <c r="G1137" s="60"/>
      <c r="H1137" s="130"/>
      <c r="I1137" s="60"/>
      <c r="J1137" s="60"/>
      <c r="K1137" s="60"/>
      <c r="L1137" s="60"/>
      <c r="M1137" s="60"/>
    </row>
    <row r="1138">
      <c r="A1138" s="129"/>
      <c r="B1138" s="130"/>
      <c r="C1138" s="60"/>
      <c r="D1138" s="60"/>
      <c r="E1138" s="60"/>
      <c r="F1138" s="130"/>
      <c r="G1138" s="60"/>
      <c r="H1138" s="130"/>
      <c r="I1138" s="60"/>
      <c r="J1138" s="60"/>
      <c r="K1138" s="60"/>
      <c r="L1138" s="60"/>
      <c r="M1138" s="60"/>
    </row>
    <row r="1139">
      <c r="A1139" s="129"/>
      <c r="B1139" s="130"/>
      <c r="C1139" s="60"/>
      <c r="D1139" s="60"/>
      <c r="E1139" s="60"/>
      <c r="F1139" s="130"/>
      <c r="G1139" s="60"/>
      <c r="H1139" s="130"/>
      <c r="I1139" s="60"/>
      <c r="J1139" s="60"/>
      <c r="K1139" s="60"/>
      <c r="L1139" s="60"/>
      <c r="M1139" s="60"/>
    </row>
    <row r="1140">
      <c r="A1140" s="129"/>
      <c r="B1140" s="130"/>
      <c r="C1140" s="60"/>
      <c r="D1140" s="60"/>
      <c r="E1140" s="60"/>
      <c r="F1140" s="130"/>
      <c r="G1140" s="60"/>
      <c r="H1140" s="130"/>
      <c r="I1140" s="60"/>
      <c r="J1140" s="60"/>
      <c r="K1140" s="60"/>
      <c r="L1140" s="60"/>
      <c r="M1140" s="60"/>
    </row>
    <row r="1141">
      <c r="A1141" s="129"/>
      <c r="B1141" s="130"/>
      <c r="C1141" s="60"/>
      <c r="D1141" s="60"/>
      <c r="E1141" s="60"/>
      <c r="F1141" s="130"/>
      <c r="G1141" s="60"/>
      <c r="H1141" s="130"/>
      <c r="I1141" s="60"/>
      <c r="J1141" s="60"/>
      <c r="K1141" s="60"/>
      <c r="L1141" s="60"/>
      <c r="M1141" s="60"/>
    </row>
    <row r="1142">
      <c r="A1142" s="129"/>
      <c r="B1142" s="130"/>
      <c r="C1142" s="60"/>
      <c r="D1142" s="60"/>
      <c r="E1142" s="60"/>
      <c r="F1142" s="130"/>
      <c r="G1142" s="60"/>
      <c r="H1142" s="130"/>
      <c r="I1142" s="60"/>
      <c r="J1142" s="60"/>
      <c r="K1142" s="60"/>
      <c r="L1142" s="60"/>
      <c r="M1142" s="60"/>
    </row>
    <row r="1143">
      <c r="A1143" s="129"/>
      <c r="B1143" s="130"/>
      <c r="C1143" s="60"/>
      <c r="D1143" s="60"/>
      <c r="E1143" s="60"/>
      <c r="F1143" s="130"/>
      <c r="G1143" s="60"/>
      <c r="H1143" s="130"/>
      <c r="I1143" s="60"/>
      <c r="J1143" s="60"/>
      <c r="K1143" s="60"/>
      <c r="L1143" s="60"/>
      <c r="M1143" s="60"/>
    </row>
    <row r="1144">
      <c r="A1144" s="129"/>
      <c r="B1144" s="130"/>
      <c r="C1144" s="60"/>
      <c r="D1144" s="60"/>
      <c r="E1144" s="60"/>
      <c r="F1144" s="130"/>
      <c r="G1144" s="60"/>
      <c r="H1144" s="130"/>
      <c r="I1144" s="60"/>
      <c r="J1144" s="60"/>
      <c r="K1144" s="60"/>
      <c r="L1144" s="60"/>
      <c r="M1144" s="60"/>
    </row>
    <row r="1145">
      <c r="A1145" s="129"/>
      <c r="B1145" s="130"/>
      <c r="C1145" s="60"/>
      <c r="D1145" s="60"/>
      <c r="E1145" s="60"/>
      <c r="F1145" s="130"/>
      <c r="G1145" s="60"/>
      <c r="H1145" s="130"/>
      <c r="I1145" s="60"/>
      <c r="J1145" s="60"/>
      <c r="K1145" s="60"/>
      <c r="L1145" s="60"/>
      <c r="M1145" s="60"/>
    </row>
    <row r="1146">
      <c r="A1146" s="129"/>
      <c r="B1146" s="130"/>
      <c r="C1146" s="60"/>
      <c r="D1146" s="60"/>
      <c r="E1146" s="60"/>
      <c r="F1146" s="130"/>
      <c r="G1146" s="60"/>
      <c r="H1146" s="130"/>
      <c r="I1146" s="60"/>
      <c r="J1146" s="60"/>
      <c r="K1146" s="60"/>
      <c r="L1146" s="60"/>
      <c r="M1146" s="60"/>
    </row>
    <row r="1147">
      <c r="A1147" s="129"/>
      <c r="B1147" s="130"/>
      <c r="C1147" s="60"/>
      <c r="D1147" s="60"/>
      <c r="E1147" s="60"/>
      <c r="F1147" s="130"/>
      <c r="G1147" s="60"/>
      <c r="H1147" s="130"/>
      <c r="I1147" s="60"/>
      <c r="J1147" s="60"/>
      <c r="K1147" s="60"/>
      <c r="L1147" s="60"/>
      <c r="M1147" s="60"/>
    </row>
    <row r="1148">
      <c r="A1148" s="129"/>
      <c r="B1148" s="130"/>
      <c r="C1148" s="60"/>
      <c r="D1148" s="60"/>
      <c r="E1148" s="60"/>
      <c r="F1148" s="130"/>
      <c r="G1148" s="60"/>
      <c r="H1148" s="130"/>
      <c r="I1148" s="60"/>
      <c r="J1148" s="60"/>
      <c r="K1148" s="60"/>
      <c r="L1148" s="60"/>
      <c r="M1148" s="60"/>
    </row>
    <row r="1149">
      <c r="A1149" s="129"/>
      <c r="B1149" s="130"/>
      <c r="C1149" s="60"/>
      <c r="D1149" s="60"/>
      <c r="E1149" s="60"/>
      <c r="F1149" s="130"/>
      <c r="G1149" s="60"/>
      <c r="H1149" s="130"/>
      <c r="I1149" s="60"/>
      <c r="J1149" s="60"/>
      <c r="K1149" s="60"/>
      <c r="L1149" s="60"/>
      <c r="M1149" s="60"/>
    </row>
    <row r="1150">
      <c r="A1150" s="129"/>
      <c r="B1150" s="130"/>
      <c r="C1150" s="60"/>
      <c r="D1150" s="60"/>
      <c r="E1150" s="60"/>
      <c r="F1150" s="130"/>
      <c r="G1150" s="60"/>
      <c r="H1150" s="130"/>
      <c r="I1150" s="60"/>
      <c r="J1150" s="60"/>
      <c r="K1150" s="60"/>
      <c r="L1150" s="60"/>
      <c r="M1150" s="60"/>
    </row>
    <row r="1151">
      <c r="A1151" s="129"/>
      <c r="B1151" s="130"/>
      <c r="C1151" s="60"/>
      <c r="D1151" s="60"/>
      <c r="E1151" s="60"/>
      <c r="F1151" s="130"/>
      <c r="G1151" s="60"/>
      <c r="H1151" s="130"/>
      <c r="I1151" s="60"/>
      <c r="J1151" s="60"/>
      <c r="K1151" s="60"/>
      <c r="L1151" s="60"/>
      <c r="M1151" s="60"/>
    </row>
    <row r="1152">
      <c r="A1152" s="129"/>
      <c r="B1152" s="130"/>
      <c r="C1152" s="60"/>
      <c r="D1152" s="60"/>
      <c r="E1152" s="60"/>
      <c r="F1152" s="130"/>
      <c r="G1152" s="60"/>
      <c r="H1152" s="130"/>
      <c r="I1152" s="60"/>
      <c r="J1152" s="60"/>
      <c r="K1152" s="60"/>
      <c r="L1152" s="60"/>
      <c r="M1152" s="60"/>
    </row>
    <row r="1153">
      <c r="A1153" s="129"/>
      <c r="B1153" s="130"/>
      <c r="C1153" s="60"/>
      <c r="D1153" s="60"/>
      <c r="E1153" s="60"/>
      <c r="F1153" s="130"/>
      <c r="G1153" s="60"/>
      <c r="H1153" s="130"/>
      <c r="I1153" s="60"/>
      <c r="J1153" s="60"/>
      <c r="K1153" s="60"/>
      <c r="L1153" s="60"/>
      <c r="M1153" s="60"/>
    </row>
    <row r="1154">
      <c r="A1154" s="129"/>
      <c r="B1154" s="130"/>
      <c r="C1154" s="60"/>
      <c r="D1154" s="60"/>
      <c r="E1154" s="60"/>
      <c r="F1154" s="130"/>
      <c r="G1154" s="60"/>
      <c r="H1154" s="130"/>
      <c r="I1154" s="60"/>
      <c r="J1154" s="60"/>
      <c r="K1154" s="60"/>
      <c r="L1154" s="60"/>
      <c r="M1154" s="60"/>
    </row>
    <row r="1155">
      <c r="A1155" s="129"/>
      <c r="B1155" s="130"/>
      <c r="C1155" s="60"/>
      <c r="D1155" s="60"/>
      <c r="E1155" s="60"/>
      <c r="F1155" s="130"/>
      <c r="G1155" s="60"/>
      <c r="H1155" s="130"/>
      <c r="I1155" s="60"/>
      <c r="J1155" s="60"/>
      <c r="K1155" s="60"/>
      <c r="L1155" s="60"/>
      <c r="M1155" s="60"/>
    </row>
    <row r="1156">
      <c r="A1156" s="129"/>
      <c r="B1156" s="130"/>
      <c r="C1156" s="60"/>
      <c r="D1156" s="60"/>
      <c r="E1156" s="60"/>
      <c r="F1156" s="130"/>
      <c r="G1156" s="60"/>
      <c r="H1156" s="130"/>
      <c r="I1156" s="60"/>
      <c r="J1156" s="60"/>
      <c r="K1156" s="60"/>
      <c r="L1156" s="60"/>
      <c r="M1156" s="60"/>
    </row>
    <row r="1157">
      <c r="A1157" s="129"/>
      <c r="B1157" s="130"/>
      <c r="C1157" s="60"/>
      <c r="D1157" s="60"/>
      <c r="E1157" s="60"/>
      <c r="F1157" s="130"/>
      <c r="G1157" s="60"/>
      <c r="H1157" s="130"/>
      <c r="I1157" s="60"/>
      <c r="J1157" s="60"/>
      <c r="K1157" s="60"/>
      <c r="L1157" s="60"/>
      <c r="M1157" s="60"/>
    </row>
    <row r="1158">
      <c r="A1158" s="129"/>
      <c r="B1158" s="130"/>
      <c r="C1158" s="60"/>
      <c r="D1158" s="60"/>
      <c r="E1158" s="60"/>
      <c r="F1158" s="130"/>
      <c r="G1158" s="60"/>
      <c r="H1158" s="130"/>
      <c r="I1158" s="60"/>
      <c r="J1158" s="60"/>
      <c r="K1158" s="60"/>
      <c r="L1158" s="60"/>
      <c r="M1158" s="60"/>
    </row>
    <row r="1159">
      <c r="A1159" s="129"/>
      <c r="B1159" s="130"/>
      <c r="C1159" s="60"/>
      <c r="D1159" s="60"/>
      <c r="E1159" s="60"/>
      <c r="F1159" s="130"/>
      <c r="G1159" s="60"/>
      <c r="H1159" s="130"/>
      <c r="I1159" s="60"/>
      <c r="J1159" s="60"/>
      <c r="K1159" s="60"/>
      <c r="L1159" s="60"/>
      <c r="M1159" s="60"/>
    </row>
    <row r="1160">
      <c r="A1160" s="129"/>
      <c r="B1160" s="130"/>
      <c r="C1160" s="60"/>
      <c r="D1160" s="60"/>
      <c r="E1160" s="60"/>
      <c r="F1160" s="130"/>
      <c r="G1160" s="60"/>
      <c r="H1160" s="130"/>
      <c r="I1160" s="60"/>
      <c r="J1160" s="60"/>
      <c r="K1160" s="60"/>
      <c r="L1160" s="60"/>
      <c r="M1160" s="60"/>
    </row>
    <row r="1161">
      <c r="A1161" s="129"/>
      <c r="B1161" s="130"/>
      <c r="C1161" s="60"/>
      <c r="D1161" s="60"/>
      <c r="E1161" s="60"/>
      <c r="F1161" s="130"/>
      <c r="G1161" s="60"/>
      <c r="H1161" s="130"/>
      <c r="I1161" s="60"/>
      <c r="J1161" s="60"/>
      <c r="K1161" s="60"/>
      <c r="L1161" s="60"/>
      <c r="M1161" s="60"/>
    </row>
    <row r="1162">
      <c r="A1162" s="129"/>
      <c r="B1162" s="130"/>
      <c r="C1162" s="60"/>
      <c r="D1162" s="60"/>
      <c r="E1162" s="60"/>
      <c r="F1162" s="130"/>
      <c r="G1162" s="60"/>
      <c r="H1162" s="130"/>
      <c r="I1162" s="60"/>
      <c r="J1162" s="60"/>
      <c r="K1162" s="60"/>
      <c r="L1162" s="60"/>
      <c r="M1162" s="60"/>
    </row>
    <row r="1163">
      <c r="A1163" s="129"/>
      <c r="B1163" s="130"/>
      <c r="C1163" s="60"/>
      <c r="D1163" s="60"/>
      <c r="E1163" s="60"/>
      <c r="F1163" s="130"/>
      <c r="G1163" s="60"/>
      <c r="H1163" s="130"/>
      <c r="I1163" s="60"/>
      <c r="J1163" s="60"/>
      <c r="K1163" s="60"/>
      <c r="L1163" s="60"/>
      <c r="M1163" s="60"/>
    </row>
    <row r="1164">
      <c r="A1164" s="129"/>
      <c r="B1164" s="130"/>
      <c r="C1164" s="60"/>
      <c r="D1164" s="60"/>
      <c r="E1164" s="60"/>
      <c r="F1164" s="130"/>
      <c r="G1164" s="60"/>
      <c r="H1164" s="130"/>
      <c r="I1164" s="60"/>
      <c r="J1164" s="60"/>
      <c r="K1164" s="60"/>
      <c r="L1164" s="60"/>
      <c r="M1164" s="60"/>
    </row>
    <row r="1165">
      <c r="A1165" s="129"/>
      <c r="B1165" s="130"/>
      <c r="C1165" s="60"/>
      <c r="D1165" s="60"/>
      <c r="E1165" s="60"/>
      <c r="F1165" s="130"/>
      <c r="G1165" s="60"/>
      <c r="H1165" s="130"/>
      <c r="I1165" s="60"/>
      <c r="J1165" s="60"/>
      <c r="K1165" s="60"/>
      <c r="L1165" s="60"/>
      <c r="M1165" s="60"/>
    </row>
    <row r="1166">
      <c r="A1166" s="129"/>
      <c r="B1166" s="130"/>
      <c r="C1166" s="60"/>
      <c r="D1166" s="60"/>
      <c r="E1166" s="60"/>
      <c r="F1166" s="130"/>
      <c r="G1166" s="60"/>
      <c r="H1166" s="130"/>
      <c r="I1166" s="60"/>
      <c r="J1166" s="60"/>
      <c r="K1166" s="60"/>
      <c r="L1166" s="60"/>
      <c r="M1166" s="60"/>
    </row>
    <row r="1167">
      <c r="A1167" s="129"/>
      <c r="B1167" s="130"/>
      <c r="C1167" s="60"/>
      <c r="D1167" s="60"/>
      <c r="E1167" s="60"/>
      <c r="F1167" s="130"/>
      <c r="G1167" s="60"/>
      <c r="H1167" s="130"/>
      <c r="I1167" s="60"/>
      <c r="J1167" s="60"/>
      <c r="K1167" s="60"/>
      <c r="L1167" s="60"/>
      <c r="M1167" s="60"/>
    </row>
    <row r="1168">
      <c r="A1168" s="129"/>
      <c r="B1168" s="130"/>
      <c r="C1168" s="60"/>
      <c r="D1168" s="60"/>
      <c r="E1168" s="60"/>
      <c r="F1168" s="130"/>
      <c r="G1168" s="60"/>
      <c r="H1168" s="130"/>
      <c r="I1168" s="60"/>
      <c r="J1168" s="60"/>
      <c r="K1168" s="60"/>
      <c r="L1168" s="60"/>
      <c r="M1168" s="60"/>
    </row>
    <row r="1169">
      <c r="A1169" s="129"/>
      <c r="B1169" s="130"/>
      <c r="C1169" s="60"/>
      <c r="D1169" s="60"/>
      <c r="E1169" s="60"/>
      <c r="F1169" s="130"/>
      <c r="G1169" s="60"/>
      <c r="H1169" s="130"/>
      <c r="I1169" s="60"/>
      <c r="J1169" s="60"/>
      <c r="K1169" s="60"/>
      <c r="L1169" s="60"/>
      <c r="M1169" s="60"/>
    </row>
    <row r="1170">
      <c r="A1170" s="129"/>
      <c r="B1170" s="130"/>
      <c r="C1170" s="60"/>
      <c r="D1170" s="60"/>
      <c r="E1170" s="60"/>
      <c r="F1170" s="130"/>
      <c r="G1170" s="60"/>
      <c r="H1170" s="130"/>
      <c r="I1170" s="60"/>
      <c r="J1170" s="60"/>
      <c r="K1170" s="60"/>
      <c r="L1170" s="60"/>
      <c r="M1170" s="60"/>
    </row>
    <row r="1171">
      <c r="A1171" s="129"/>
      <c r="B1171" s="130"/>
      <c r="C1171" s="60"/>
      <c r="D1171" s="60"/>
      <c r="E1171" s="60"/>
      <c r="F1171" s="130"/>
      <c r="G1171" s="60"/>
      <c r="H1171" s="130"/>
      <c r="I1171" s="60"/>
      <c r="J1171" s="60"/>
      <c r="K1171" s="60"/>
      <c r="L1171" s="60"/>
      <c r="M1171" s="60"/>
    </row>
    <row r="1172">
      <c r="A1172" s="129"/>
      <c r="B1172" s="130"/>
      <c r="C1172" s="60"/>
      <c r="D1172" s="60"/>
      <c r="E1172" s="60"/>
      <c r="F1172" s="130"/>
      <c r="G1172" s="60"/>
      <c r="H1172" s="130"/>
      <c r="I1172" s="60"/>
      <c r="J1172" s="60"/>
      <c r="K1172" s="60"/>
      <c r="L1172" s="60"/>
      <c r="M1172" s="60"/>
    </row>
    <row r="1173">
      <c r="A1173" s="129"/>
      <c r="B1173" s="130"/>
      <c r="C1173" s="60"/>
      <c r="D1173" s="60"/>
      <c r="E1173" s="60"/>
      <c r="F1173" s="130"/>
      <c r="G1173" s="60"/>
      <c r="H1173" s="130"/>
      <c r="I1173" s="60"/>
      <c r="J1173" s="60"/>
      <c r="K1173" s="60"/>
      <c r="L1173" s="60"/>
      <c r="M1173" s="60"/>
    </row>
    <row r="1174">
      <c r="A1174" s="129"/>
      <c r="B1174" s="130"/>
      <c r="C1174" s="60"/>
      <c r="D1174" s="60"/>
      <c r="E1174" s="60"/>
      <c r="F1174" s="130"/>
      <c r="G1174" s="60"/>
      <c r="H1174" s="130"/>
      <c r="I1174" s="60"/>
      <c r="J1174" s="60"/>
      <c r="K1174" s="60"/>
      <c r="L1174" s="60"/>
      <c r="M1174" s="60"/>
    </row>
    <row r="1175">
      <c r="A1175" s="129"/>
      <c r="B1175" s="130"/>
      <c r="C1175" s="60"/>
      <c r="D1175" s="60"/>
      <c r="E1175" s="60"/>
      <c r="F1175" s="130"/>
      <c r="G1175" s="60"/>
      <c r="H1175" s="130"/>
      <c r="I1175" s="60"/>
      <c r="J1175" s="60"/>
      <c r="K1175" s="60"/>
      <c r="L1175" s="60"/>
      <c r="M1175" s="60"/>
    </row>
    <row r="1176">
      <c r="A1176" s="129"/>
      <c r="B1176" s="130"/>
      <c r="C1176" s="60"/>
      <c r="D1176" s="60"/>
      <c r="E1176" s="60"/>
      <c r="F1176" s="130"/>
      <c r="G1176" s="60"/>
      <c r="H1176" s="130"/>
      <c r="I1176" s="60"/>
      <c r="J1176" s="60"/>
      <c r="K1176" s="60"/>
      <c r="L1176" s="60"/>
      <c r="M1176" s="60"/>
    </row>
    <row r="1177">
      <c r="A1177" s="129"/>
      <c r="B1177" s="130"/>
      <c r="C1177" s="60"/>
      <c r="D1177" s="60"/>
      <c r="E1177" s="60"/>
      <c r="F1177" s="130"/>
      <c r="G1177" s="60"/>
      <c r="H1177" s="130"/>
      <c r="I1177" s="60"/>
      <c r="J1177" s="60"/>
      <c r="K1177" s="60"/>
      <c r="L1177" s="60"/>
      <c r="M1177" s="60"/>
    </row>
    <row r="1178">
      <c r="A1178" s="129"/>
      <c r="B1178" s="130"/>
      <c r="C1178" s="60"/>
      <c r="D1178" s="60"/>
      <c r="E1178" s="60"/>
      <c r="F1178" s="130"/>
      <c r="G1178" s="60"/>
      <c r="H1178" s="130"/>
      <c r="I1178" s="60"/>
      <c r="J1178" s="60"/>
      <c r="K1178" s="60"/>
      <c r="L1178" s="60"/>
      <c r="M1178" s="60"/>
    </row>
    <row r="1179">
      <c r="A1179" s="129"/>
      <c r="B1179" s="130"/>
      <c r="C1179" s="60"/>
      <c r="D1179" s="60"/>
      <c r="E1179" s="60"/>
      <c r="F1179" s="130"/>
      <c r="G1179" s="60"/>
      <c r="H1179" s="130"/>
      <c r="I1179" s="60"/>
      <c r="J1179" s="60"/>
      <c r="K1179" s="60"/>
      <c r="L1179" s="60"/>
      <c r="M1179" s="60"/>
    </row>
    <row r="1180">
      <c r="A1180" s="129"/>
      <c r="B1180" s="130"/>
      <c r="C1180" s="60"/>
      <c r="D1180" s="60"/>
      <c r="E1180" s="60"/>
      <c r="F1180" s="130"/>
      <c r="G1180" s="60"/>
      <c r="H1180" s="130"/>
      <c r="I1180" s="60"/>
      <c r="J1180" s="60"/>
      <c r="K1180" s="60"/>
      <c r="L1180" s="60"/>
      <c r="M1180" s="60"/>
    </row>
    <row r="1181">
      <c r="A1181" s="129"/>
      <c r="B1181" s="130"/>
      <c r="C1181" s="60"/>
      <c r="D1181" s="60"/>
      <c r="E1181" s="60"/>
      <c r="F1181" s="130"/>
      <c r="G1181" s="60"/>
      <c r="H1181" s="130"/>
      <c r="I1181" s="60"/>
      <c r="J1181" s="60"/>
      <c r="K1181" s="60"/>
      <c r="L1181" s="60"/>
      <c r="M1181" s="60"/>
    </row>
    <row r="1182">
      <c r="A1182" s="129"/>
      <c r="B1182" s="130"/>
      <c r="C1182" s="60"/>
      <c r="D1182" s="60"/>
      <c r="E1182" s="60"/>
      <c r="F1182" s="130"/>
      <c r="G1182" s="60"/>
      <c r="H1182" s="130"/>
      <c r="I1182" s="60"/>
      <c r="J1182" s="60"/>
      <c r="K1182" s="60"/>
      <c r="L1182" s="60"/>
      <c r="M1182" s="60"/>
    </row>
    <row r="1183">
      <c r="A1183" s="129"/>
      <c r="B1183" s="130"/>
      <c r="C1183" s="60"/>
      <c r="D1183" s="60"/>
      <c r="E1183" s="60"/>
      <c r="F1183" s="130"/>
      <c r="G1183" s="60"/>
      <c r="H1183" s="130"/>
      <c r="I1183" s="60"/>
      <c r="J1183" s="60"/>
      <c r="K1183" s="60"/>
      <c r="L1183" s="60"/>
      <c r="M1183" s="60"/>
    </row>
    <row r="1184">
      <c r="A1184" s="129"/>
      <c r="B1184" s="130"/>
      <c r="C1184" s="60"/>
      <c r="D1184" s="60"/>
      <c r="E1184" s="60"/>
      <c r="F1184" s="130"/>
      <c r="G1184" s="60"/>
      <c r="H1184" s="130"/>
      <c r="I1184" s="60"/>
      <c r="J1184" s="60"/>
      <c r="K1184" s="60"/>
      <c r="L1184" s="60"/>
      <c r="M1184" s="60"/>
    </row>
    <row r="1185">
      <c r="A1185" s="129"/>
      <c r="B1185" s="130"/>
      <c r="C1185" s="60"/>
      <c r="D1185" s="60"/>
      <c r="E1185" s="60"/>
      <c r="F1185" s="130"/>
      <c r="G1185" s="60"/>
      <c r="H1185" s="130"/>
      <c r="I1185" s="60"/>
      <c r="J1185" s="60"/>
      <c r="K1185" s="60"/>
      <c r="L1185" s="60"/>
      <c r="M1185" s="60"/>
    </row>
    <row r="1186">
      <c r="A1186" s="129"/>
      <c r="B1186" s="130"/>
      <c r="C1186" s="60"/>
      <c r="D1186" s="60"/>
      <c r="E1186" s="60"/>
      <c r="F1186" s="130"/>
      <c r="G1186" s="60"/>
      <c r="H1186" s="130"/>
      <c r="I1186" s="60"/>
      <c r="J1186" s="60"/>
      <c r="K1186" s="60"/>
      <c r="L1186" s="60"/>
      <c r="M1186" s="60"/>
    </row>
    <row r="1187">
      <c r="A1187" s="129"/>
      <c r="B1187" s="130"/>
      <c r="C1187" s="60"/>
      <c r="D1187" s="60"/>
      <c r="E1187" s="60"/>
      <c r="F1187" s="130"/>
      <c r="G1187" s="60"/>
      <c r="H1187" s="130"/>
      <c r="I1187" s="60"/>
      <c r="J1187" s="60"/>
      <c r="K1187" s="60"/>
      <c r="L1187" s="60"/>
      <c r="M1187" s="60"/>
    </row>
    <row r="1188">
      <c r="A1188" s="129"/>
      <c r="B1188" s="130"/>
      <c r="C1188" s="60"/>
      <c r="D1188" s="60"/>
      <c r="E1188" s="60"/>
      <c r="F1188" s="130"/>
      <c r="G1188" s="60"/>
      <c r="H1188" s="130"/>
      <c r="I1188" s="60"/>
      <c r="J1188" s="60"/>
      <c r="K1188" s="60"/>
      <c r="L1188" s="60"/>
      <c r="M1188" s="60"/>
    </row>
    <row r="1189">
      <c r="A1189" s="129"/>
      <c r="B1189" s="130"/>
      <c r="C1189" s="60"/>
      <c r="D1189" s="60"/>
      <c r="E1189" s="60"/>
      <c r="F1189" s="130"/>
      <c r="G1189" s="60"/>
      <c r="H1189" s="130"/>
      <c r="I1189" s="60"/>
      <c r="J1189" s="60"/>
      <c r="K1189" s="60"/>
      <c r="L1189" s="60"/>
      <c r="M1189" s="60"/>
    </row>
    <row r="1190">
      <c r="A1190" s="129"/>
      <c r="B1190" s="130"/>
      <c r="C1190" s="60"/>
      <c r="D1190" s="60"/>
      <c r="E1190" s="60"/>
      <c r="F1190" s="130"/>
      <c r="G1190" s="60"/>
      <c r="H1190" s="130"/>
      <c r="I1190" s="60"/>
      <c r="J1190" s="60"/>
      <c r="K1190" s="60"/>
      <c r="L1190" s="60"/>
      <c r="M1190" s="60"/>
    </row>
    <row r="1191">
      <c r="A1191" s="129"/>
      <c r="B1191" s="130"/>
      <c r="C1191" s="60"/>
      <c r="D1191" s="60"/>
      <c r="E1191" s="60"/>
      <c r="F1191" s="130"/>
      <c r="G1191" s="60"/>
      <c r="H1191" s="130"/>
      <c r="I1191" s="60"/>
      <c r="J1191" s="60"/>
      <c r="K1191" s="60"/>
      <c r="L1191" s="60"/>
      <c r="M1191" s="60"/>
    </row>
    <row r="1192">
      <c r="A1192" s="129"/>
      <c r="B1192" s="130"/>
      <c r="C1192" s="60"/>
      <c r="D1192" s="60"/>
      <c r="E1192" s="60"/>
      <c r="F1192" s="130"/>
      <c r="G1192" s="60"/>
      <c r="H1192" s="130"/>
      <c r="I1192" s="60"/>
      <c r="J1192" s="60"/>
      <c r="K1192" s="60"/>
      <c r="L1192" s="60"/>
      <c r="M1192" s="60"/>
    </row>
    <row r="1193">
      <c r="A1193" s="129"/>
      <c r="B1193" s="130"/>
      <c r="C1193" s="60"/>
      <c r="D1193" s="60"/>
      <c r="E1193" s="60"/>
      <c r="F1193" s="130"/>
      <c r="G1193" s="60"/>
      <c r="H1193" s="130"/>
      <c r="I1193" s="60"/>
      <c r="J1193" s="60"/>
      <c r="K1193" s="60"/>
      <c r="L1193" s="60"/>
      <c r="M1193" s="60"/>
    </row>
    <row r="1194">
      <c r="A1194" s="129"/>
      <c r="B1194" s="130"/>
      <c r="C1194" s="60"/>
      <c r="D1194" s="60"/>
      <c r="E1194" s="60"/>
      <c r="F1194" s="130"/>
      <c r="G1194" s="60"/>
      <c r="H1194" s="130"/>
      <c r="I1194" s="60"/>
      <c r="J1194" s="60"/>
      <c r="K1194" s="60"/>
      <c r="L1194" s="60"/>
      <c r="M1194" s="60"/>
    </row>
    <row r="1195">
      <c r="A1195" s="129"/>
      <c r="B1195" s="130"/>
      <c r="C1195" s="60"/>
      <c r="D1195" s="60"/>
      <c r="E1195" s="60"/>
      <c r="F1195" s="130"/>
      <c r="G1195" s="60"/>
      <c r="H1195" s="130"/>
      <c r="I1195" s="60"/>
      <c r="J1195" s="60"/>
      <c r="K1195" s="60"/>
      <c r="L1195" s="60"/>
      <c r="M1195" s="60"/>
    </row>
    <row r="1196">
      <c r="A1196" s="129"/>
      <c r="B1196" s="130"/>
      <c r="C1196" s="60"/>
      <c r="D1196" s="60"/>
      <c r="E1196" s="60"/>
      <c r="F1196" s="130"/>
      <c r="G1196" s="60"/>
      <c r="H1196" s="130"/>
      <c r="I1196" s="60"/>
      <c r="J1196" s="60"/>
      <c r="K1196" s="60"/>
      <c r="L1196" s="60"/>
      <c r="M1196" s="60"/>
    </row>
    <row r="1197">
      <c r="A1197" s="129"/>
      <c r="B1197" s="130"/>
      <c r="C1197" s="60"/>
      <c r="D1197" s="60"/>
      <c r="E1197" s="60"/>
      <c r="F1197" s="130"/>
      <c r="G1197" s="60"/>
      <c r="H1197" s="130"/>
      <c r="I1197" s="60"/>
      <c r="J1197" s="60"/>
      <c r="K1197" s="60"/>
      <c r="L1197" s="60"/>
      <c r="M1197" s="60"/>
    </row>
    <row r="1198">
      <c r="A1198" s="129"/>
      <c r="B1198" s="130"/>
      <c r="C1198" s="60"/>
      <c r="D1198" s="60"/>
      <c r="E1198" s="60"/>
      <c r="F1198" s="130"/>
      <c r="G1198" s="60"/>
      <c r="H1198" s="130"/>
      <c r="I1198" s="60"/>
      <c r="J1198" s="60"/>
      <c r="K1198" s="60"/>
      <c r="L1198" s="60"/>
      <c r="M1198" s="60"/>
    </row>
    <row r="1199">
      <c r="A1199" s="129"/>
      <c r="B1199" s="130"/>
      <c r="C1199" s="60"/>
      <c r="D1199" s="60"/>
      <c r="E1199" s="60"/>
      <c r="F1199" s="130"/>
      <c r="G1199" s="60"/>
      <c r="H1199" s="130"/>
      <c r="I1199" s="60"/>
      <c r="J1199" s="60"/>
      <c r="K1199" s="60"/>
      <c r="L1199" s="60"/>
      <c r="M1199" s="60"/>
    </row>
    <row r="1200">
      <c r="A1200" s="129"/>
      <c r="B1200" s="130"/>
      <c r="C1200" s="60"/>
      <c r="D1200" s="60"/>
      <c r="E1200" s="60"/>
      <c r="F1200" s="130"/>
      <c r="G1200" s="60"/>
      <c r="H1200" s="130"/>
      <c r="I1200" s="60"/>
      <c r="J1200" s="60"/>
      <c r="K1200" s="60"/>
      <c r="L1200" s="60"/>
      <c r="M1200" s="60"/>
    </row>
    <row r="1201">
      <c r="A1201" s="129"/>
      <c r="B1201" s="130"/>
      <c r="C1201" s="60"/>
      <c r="D1201" s="60"/>
      <c r="E1201" s="60"/>
      <c r="F1201" s="130"/>
      <c r="G1201" s="60"/>
      <c r="H1201" s="130"/>
      <c r="I1201" s="60"/>
      <c r="J1201" s="60"/>
      <c r="K1201" s="60"/>
      <c r="L1201" s="60"/>
      <c r="M1201" s="60"/>
    </row>
    <row r="1202">
      <c r="A1202" s="129"/>
      <c r="B1202" s="130"/>
      <c r="C1202" s="60"/>
      <c r="D1202" s="60"/>
      <c r="E1202" s="60"/>
      <c r="F1202" s="130"/>
      <c r="G1202" s="60"/>
      <c r="H1202" s="130"/>
      <c r="I1202" s="60"/>
      <c r="J1202" s="60"/>
      <c r="K1202" s="60"/>
      <c r="L1202" s="60"/>
      <c r="M1202" s="60"/>
    </row>
    <row r="1203">
      <c r="A1203" s="129"/>
      <c r="B1203" s="130"/>
      <c r="C1203" s="60"/>
      <c r="D1203" s="60"/>
      <c r="E1203" s="60"/>
      <c r="F1203" s="130"/>
      <c r="G1203" s="60"/>
      <c r="H1203" s="130"/>
      <c r="I1203" s="60"/>
      <c r="J1203" s="60"/>
      <c r="K1203" s="60"/>
      <c r="L1203" s="60"/>
      <c r="M1203" s="60"/>
    </row>
    <row r="1204">
      <c r="A1204" s="129"/>
      <c r="B1204" s="130"/>
      <c r="C1204" s="60"/>
      <c r="D1204" s="60"/>
      <c r="E1204" s="60"/>
      <c r="F1204" s="130"/>
      <c r="G1204" s="60"/>
      <c r="H1204" s="130"/>
      <c r="I1204" s="60"/>
      <c r="J1204" s="60"/>
      <c r="K1204" s="60"/>
      <c r="L1204" s="60"/>
      <c r="M1204" s="60"/>
    </row>
    <row r="1205">
      <c r="A1205" s="129"/>
      <c r="B1205" s="130"/>
      <c r="C1205" s="60"/>
      <c r="D1205" s="60"/>
      <c r="E1205" s="60"/>
      <c r="F1205" s="130"/>
      <c r="G1205" s="60"/>
      <c r="H1205" s="130"/>
      <c r="I1205" s="60"/>
      <c r="J1205" s="60"/>
      <c r="K1205" s="60"/>
      <c r="L1205" s="60"/>
      <c r="M1205" s="60"/>
    </row>
    <row r="1206">
      <c r="A1206" s="129"/>
      <c r="B1206" s="130"/>
      <c r="C1206" s="60"/>
      <c r="D1206" s="60"/>
      <c r="E1206" s="60"/>
      <c r="F1206" s="130"/>
      <c r="G1206" s="60"/>
      <c r="H1206" s="130"/>
      <c r="I1206" s="60"/>
      <c r="J1206" s="60"/>
      <c r="K1206" s="60"/>
      <c r="L1206" s="60"/>
      <c r="M1206" s="60"/>
    </row>
    <row r="1207">
      <c r="A1207" s="129"/>
      <c r="B1207" s="130"/>
      <c r="C1207" s="60"/>
      <c r="D1207" s="60"/>
      <c r="E1207" s="60"/>
      <c r="F1207" s="130"/>
      <c r="G1207" s="60"/>
      <c r="H1207" s="130"/>
      <c r="I1207" s="60"/>
      <c r="J1207" s="60"/>
      <c r="K1207" s="60"/>
      <c r="L1207" s="60"/>
      <c r="M1207" s="60"/>
    </row>
    <row r="1208">
      <c r="A1208" s="129"/>
      <c r="B1208" s="130"/>
      <c r="C1208" s="60"/>
      <c r="D1208" s="60"/>
      <c r="E1208" s="60"/>
      <c r="F1208" s="130"/>
      <c r="G1208" s="60"/>
      <c r="H1208" s="130"/>
      <c r="I1208" s="60"/>
      <c r="J1208" s="60"/>
      <c r="K1208" s="60"/>
      <c r="L1208" s="60"/>
      <c r="M1208" s="60"/>
    </row>
    <row r="1209">
      <c r="A1209" s="129"/>
      <c r="B1209" s="130"/>
      <c r="C1209" s="60"/>
      <c r="D1209" s="60"/>
      <c r="E1209" s="60"/>
      <c r="F1209" s="130"/>
      <c r="G1209" s="60"/>
      <c r="H1209" s="130"/>
      <c r="I1209" s="60"/>
      <c r="J1209" s="60"/>
      <c r="K1209" s="60"/>
      <c r="L1209" s="60"/>
      <c r="M1209" s="60"/>
    </row>
    <row r="1210">
      <c r="A1210" s="129"/>
      <c r="B1210" s="130"/>
      <c r="C1210" s="60"/>
      <c r="D1210" s="60"/>
      <c r="E1210" s="60"/>
      <c r="F1210" s="130"/>
      <c r="G1210" s="60"/>
      <c r="H1210" s="130"/>
      <c r="I1210" s="60"/>
      <c r="J1210" s="60"/>
      <c r="K1210" s="60"/>
      <c r="L1210" s="60"/>
      <c r="M1210" s="60"/>
    </row>
    <row r="1211">
      <c r="A1211" s="129"/>
      <c r="B1211" s="130"/>
      <c r="C1211" s="60"/>
      <c r="D1211" s="60"/>
      <c r="E1211" s="60"/>
      <c r="F1211" s="130"/>
      <c r="G1211" s="60"/>
      <c r="H1211" s="130"/>
      <c r="I1211" s="60"/>
      <c r="J1211" s="60"/>
      <c r="K1211" s="60"/>
      <c r="L1211" s="60"/>
      <c r="M1211" s="60"/>
    </row>
    <row r="1212">
      <c r="A1212" s="129"/>
      <c r="B1212" s="130"/>
      <c r="C1212" s="60"/>
      <c r="D1212" s="60"/>
      <c r="E1212" s="60"/>
      <c r="F1212" s="130"/>
      <c r="G1212" s="60"/>
      <c r="H1212" s="130"/>
      <c r="I1212" s="60"/>
      <c r="J1212" s="60"/>
      <c r="K1212" s="60"/>
      <c r="L1212" s="60"/>
      <c r="M1212" s="60"/>
    </row>
    <row r="1213">
      <c r="A1213" s="129"/>
      <c r="B1213" s="130"/>
      <c r="C1213" s="60"/>
      <c r="D1213" s="60"/>
      <c r="E1213" s="60"/>
      <c r="F1213" s="130"/>
      <c r="G1213" s="60"/>
      <c r="H1213" s="130"/>
      <c r="I1213" s="60"/>
      <c r="J1213" s="60"/>
      <c r="K1213" s="60"/>
      <c r="L1213" s="60"/>
      <c r="M1213" s="60"/>
    </row>
    <row r="1214">
      <c r="A1214" s="129"/>
      <c r="B1214" s="130"/>
      <c r="C1214" s="60"/>
      <c r="D1214" s="60"/>
      <c r="E1214" s="60"/>
      <c r="F1214" s="130"/>
      <c r="G1214" s="60"/>
      <c r="H1214" s="130"/>
      <c r="I1214" s="60"/>
      <c r="J1214" s="60"/>
      <c r="K1214" s="60"/>
      <c r="L1214" s="60"/>
      <c r="M1214" s="60"/>
    </row>
    <row r="1215">
      <c r="A1215" s="129"/>
      <c r="B1215" s="130"/>
      <c r="C1215" s="60"/>
      <c r="D1215" s="60"/>
      <c r="E1215" s="60"/>
      <c r="F1215" s="130"/>
      <c r="G1215" s="60"/>
      <c r="H1215" s="130"/>
      <c r="I1215" s="60"/>
      <c r="J1215" s="60"/>
      <c r="K1215" s="60"/>
      <c r="L1215" s="60"/>
      <c r="M1215" s="60"/>
    </row>
    <row r="1216">
      <c r="A1216" s="129"/>
      <c r="B1216" s="130"/>
      <c r="C1216" s="60"/>
      <c r="D1216" s="60"/>
      <c r="E1216" s="60"/>
      <c r="F1216" s="130"/>
      <c r="G1216" s="60"/>
      <c r="H1216" s="130"/>
      <c r="I1216" s="60"/>
      <c r="J1216" s="60"/>
      <c r="K1216" s="60"/>
      <c r="L1216" s="60"/>
      <c r="M1216" s="60"/>
    </row>
    <row r="1217">
      <c r="A1217" s="129"/>
      <c r="B1217" s="130"/>
      <c r="C1217" s="60"/>
      <c r="D1217" s="60"/>
      <c r="E1217" s="60"/>
      <c r="F1217" s="130"/>
      <c r="G1217" s="60"/>
      <c r="H1217" s="130"/>
      <c r="I1217" s="60"/>
      <c r="J1217" s="60"/>
      <c r="K1217" s="60"/>
      <c r="L1217" s="60"/>
      <c r="M1217" s="60"/>
    </row>
    <row r="1218">
      <c r="A1218" s="129"/>
      <c r="B1218" s="130"/>
      <c r="C1218" s="60"/>
      <c r="D1218" s="60"/>
      <c r="E1218" s="60"/>
      <c r="F1218" s="130"/>
      <c r="G1218" s="60"/>
      <c r="H1218" s="130"/>
      <c r="I1218" s="60"/>
      <c r="J1218" s="60"/>
      <c r="K1218" s="60"/>
      <c r="L1218" s="60"/>
      <c r="M1218" s="60"/>
    </row>
    <row r="1219">
      <c r="A1219" s="129"/>
      <c r="B1219" s="130"/>
      <c r="C1219" s="60"/>
      <c r="D1219" s="60"/>
      <c r="E1219" s="60"/>
      <c r="F1219" s="130"/>
      <c r="G1219" s="60"/>
      <c r="H1219" s="130"/>
      <c r="I1219" s="60"/>
      <c r="J1219" s="60"/>
      <c r="K1219" s="60"/>
      <c r="L1219" s="60"/>
      <c r="M1219" s="60"/>
    </row>
    <row r="1220">
      <c r="A1220" s="129"/>
      <c r="B1220" s="130"/>
      <c r="C1220" s="60"/>
      <c r="D1220" s="60"/>
      <c r="E1220" s="60"/>
      <c r="F1220" s="130"/>
      <c r="G1220" s="60"/>
      <c r="H1220" s="130"/>
      <c r="I1220" s="60"/>
      <c r="J1220" s="60"/>
      <c r="K1220" s="60"/>
      <c r="L1220" s="60"/>
      <c r="M1220" s="60"/>
    </row>
    <row r="1221">
      <c r="A1221" s="129"/>
      <c r="B1221" s="130"/>
      <c r="C1221" s="60"/>
      <c r="D1221" s="60"/>
      <c r="E1221" s="60"/>
      <c r="F1221" s="130"/>
      <c r="G1221" s="60"/>
      <c r="H1221" s="130"/>
      <c r="I1221" s="60"/>
      <c r="J1221" s="60"/>
      <c r="K1221" s="60"/>
      <c r="L1221" s="60"/>
      <c r="M1221" s="60"/>
    </row>
    <row r="1222">
      <c r="A1222" s="129"/>
      <c r="B1222" s="130"/>
      <c r="C1222" s="60"/>
      <c r="D1222" s="60"/>
      <c r="E1222" s="60"/>
      <c r="F1222" s="130"/>
      <c r="G1222" s="60"/>
      <c r="H1222" s="130"/>
      <c r="I1222" s="60"/>
      <c r="J1222" s="60"/>
      <c r="K1222" s="60"/>
      <c r="L1222" s="60"/>
      <c r="M1222" s="60"/>
    </row>
    <row r="1223">
      <c r="A1223" s="129"/>
      <c r="B1223" s="130"/>
      <c r="C1223" s="60"/>
      <c r="D1223" s="60"/>
      <c r="E1223" s="60"/>
      <c r="F1223" s="130"/>
      <c r="G1223" s="60"/>
      <c r="H1223" s="130"/>
      <c r="I1223" s="60"/>
      <c r="J1223" s="60"/>
      <c r="K1223" s="60"/>
      <c r="L1223" s="60"/>
      <c r="M1223" s="60"/>
    </row>
    <row r="1224">
      <c r="A1224" s="129"/>
      <c r="B1224" s="130"/>
      <c r="C1224" s="60"/>
      <c r="D1224" s="60"/>
      <c r="E1224" s="60"/>
      <c r="F1224" s="130"/>
      <c r="G1224" s="60"/>
      <c r="H1224" s="130"/>
      <c r="I1224" s="60"/>
      <c r="J1224" s="60"/>
      <c r="K1224" s="60"/>
      <c r="L1224" s="60"/>
      <c r="M1224" s="60"/>
    </row>
    <row r="1225">
      <c r="A1225" s="129"/>
      <c r="B1225" s="130"/>
      <c r="C1225" s="60"/>
      <c r="D1225" s="60"/>
      <c r="E1225" s="60"/>
      <c r="F1225" s="130"/>
      <c r="G1225" s="60"/>
      <c r="H1225" s="130"/>
      <c r="I1225" s="60"/>
      <c r="J1225" s="60"/>
      <c r="K1225" s="60"/>
      <c r="L1225" s="60"/>
      <c r="M1225" s="60"/>
    </row>
    <row r="1226">
      <c r="A1226" s="129"/>
      <c r="B1226" s="130"/>
      <c r="C1226" s="60"/>
      <c r="D1226" s="60"/>
      <c r="E1226" s="60"/>
      <c r="F1226" s="130"/>
      <c r="G1226" s="60"/>
      <c r="H1226" s="130"/>
      <c r="I1226" s="60"/>
      <c r="J1226" s="60"/>
      <c r="K1226" s="60"/>
      <c r="L1226" s="60"/>
      <c r="M1226" s="60"/>
    </row>
    <row r="1227">
      <c r="A1227" s="129"/>
      <c r="B1227" s="130"/>
      <c r="C1227" s="60"/>
      <c r="D1227" s="60"/>
      <c r="E1227" s="60"/>
      <c r="F1227" s="130"/>
      <c r="G1227" s="60"/>
      <c r="H1227" s="130"/>
      <c r="I1227" s="60"/>
      <c r="J1227" s="60"/>
      <c r="K1227" s="60"/>
      <c r="L1227" s="60"/>
      <c r="M1227" s="60"/>
    </row>
    <row r="1228">
      <c r="A1228" s="129"/>
      <c r="B1228" s="130"/>
      <c r="C1228" s="60"/>
      <c r="D1228" s="60"/>
      <c r="E1228" s="60"/>
      <c r="F1228" s="130"/>
      <c r="G1228" s="60"/>
      <c r="H1228" s="130"/>
      <c r="I1228" s="60"/>
      <c r="J1228" s="60"/>
      <c r="K1228" s="60"/>
      <c r="L1228" s="60"/>
      <c r="M1228" s="60"/>
    </row>
    <row r="1229">
      <c r="A1229" s="129"/>
      <c r="B1229" s="130"/>
      <c r="C1229" s="60"/>
      <c r="D1229" s="60"/>
      <c r="E1229" s="60"/>
      <c r="F1229" s="130"/>
      <c r="G1229" s="60"/>
      <c r="H1229" s="130"/>
      <c r="I1229" s="60"/>
      <c r="J1229" s="60"/>
      <c r="K1229" s="60"/>
      <c r="L1229" s="60"/>
      <c r="M1229" s="60"/>
    </row>
    <row r="1230">
      <c r="A1230" s="129"/>
      <c r="B1230" s="130"/>
      <c r="C1230" s="60"/>
      <c r="D1230" s="60"/>
      <c r="E1230" s="60"/>
      <c r="F1230" s="130"/>
      <c r="G1230" s="60"/>
      <c r="H1230" s="130"/>
      <c r="I1230" s="60"/>
      <c r="J1230" s="60"/>
      <c r="K1230" s="60"/>
      <c r="L1230" s="60"/>
      <c r="M1230" s="60"/>
    </row>
    <row r="1231">
      <c r="A1231" s="129"/>
      <c r="B1231" s="130"/>
      <c r="C1231" s="60"/>
      <c r="D1231" s="60"/>
      <c r="E1231" s="60"/>
      <c r="F1231" s="130"/>
      <c r="G1231" s="60"/>
      <c r="H1231" s="130"/>
      <c r="I1231" s="60"/>
      <c r="J1231" s="60"/>
      <c r="K1231" s="60"/>
      <c r="L1231" s="60"/>
      <c r="M1231" s="60"/>
    </row>
    <row r="1232">
      <c r="A1232" s="129"/>
      <c r="B1232" s="130"/>
      <c r="C1232" s="60"/>
      <c r="D1232" s="60"/>
      <c r="E1232" s="60"/>
      <c r="F1232" s="130"/>
      <c r="G1232" s="60"/>
      <c r="H1232" s="130"/>
      <c r="I1232" s="60"/>
      <c r="J1232" s="60"/>
      <c r="K1232" s="60"/>
      <c r="L1232" s="60"/>
      <c r="M1232" s="60"/>
    </row>
    <row r="1233">
      <c r="A1233" s="129"/>
      <c r="B1233" s="130"/>
      <c r="C1233" s="60"/>
      <c r="D1233" s="60"/>
      <c r="E1233" s="60"/>
      <c r="F1233" s="130"/>
      <c r="G1233" s="60"/>
      <c r="H1233" s="130"/>
      <c r="I1233" s="60"/>
      <c r="J1233" s="60"/>
      <c r="K1233" s="60"/>
      <c r="L1233" s="60"/>
      <c r="M1233" s="60"/>
    </row>
    <row r="1234">
      <c r="A1234" s="129"/>
      <c r="B1234" s="130"/>
      <c r="C1234" s="60"/>
      <c r="D1234" s="60"/>
      <c r="E1234" s="60"/>
      <c r="F1234" s="130"/>
      <c r="G1234" s="60"/>
      <c r="H1234" s="130"/>
      <c r="I1234" s="60"/>
      <c r="J1234" s="60"/>
      <c r="K1234" s="60"/>
      <c r="L1234" s="60"/>
      <c r="M1234" s="60"/>
    </row>
    <row r="1235">
      <c r="A1235" s="129"/>
      <c r="B1235" s="130"/>
      <c r="C1235" s="60"/>
      <c r="D1235" s="60"/>
      <c r="E1235" s="60"/>
      <c r="F1235" s="130"/>
      <c r="G1235" s="60"/>
      <c r="H1235" s="130"/>
      <c r="I1235" s="60"/>
      <c r="J1235" s="60"/>
      <c r="K1235" s="60"/>
      <c r="L1235" s="60"/>
      <c r="M1235" s="60"/>
    </row>
    <row r="1236">
      <c r="A1236" s="129"/>
      <c r="B1236" s="130"/>
      <c r="C1236" s="60"/>
      <c r="D1236" s="60"/>
      <c r="E1236" s="60"/>
      <c r="F1236" s="130"/>
      <c r="G1236" s="60"/>
      <c r="H1236" s="130"/>
      <c r="I1236" s="60"/>
      <c r="J1236" s="60"/>
      <c r="K1236" s="60"/>
      <c r="L1236" s="60"/>
      <c r="M1236" s="60"/>
    </row>
    <row r="1237">
      <c r="A1237" s="129"/>
      <c r="B1237" s="130"/>
      <c r="C1237" s="60"/>
      <c r="D1237" s="60"/>
      <c r="E1237" s="60"/>
      <c r="F1237" s="130"/>
      <c r="G1237" s="60"/>
      <c r="H1237" s="130"/>
      <c r="I1237" s="60"/>
      <c r="J1237" s="60"/>
      <c r="K1237" s="60"/>
      <c r="L1237" s="60"/>
      <c r="M1237" s="60"/>
    </row>
    <row r="1238">
      <c r="A1238" s="129"/>
      <c r="B1238" s="130"/>
      <c r="C1238" s="60"/>
      <c r="D1238" s="60"/>
      <c r="E1238" s="60"/>
      <c r="F1238" s="130"/>
      <c r="G1238" s="60"/>
      <c r="H1238" s="130"/>
      <c r="I1238" s="60"/>
      <c r="J1238" s="60"/>
      <c r="K1238" s="60"/>
      <c r="L1238" s="60"/>
      <c r="M1238" s="60"/>
    </row>
    <row r="1239">
      <c r="A1239" s="129"/>
      <c r="B1239" s="130"/>
      <c r="C1239" s="60"/>
      <c r="D1239" s="60"/>
      <c r="E1239" s="60"/>
      <c r="F1239" s="130"/>
      <c r="G1239" s="60"/>
      <c r="H1239" s="130"/>
      <c r="I1239" s="60"/>
      <c r="J1239" s="60"/>
      <c r="K1239" s="60"/>
      <c r="L1239" s="60"/>
      <c r="M1239" s="60"/>
    </row>
    <row r="1240">
      <c r="A1240" s="129"/>
      <c r="B1240" s="130"/>
      <c r="C1240" s="60"/>
      <c r="D1240" s="60"/>
      <c r="E1240" s="60"/>
      <c r="F1240" s="130"/>
      <c r="G1240" s="60"/>
      <c r="H1240" s="130"/>
      <c r="I1240" s="60"/>
      <c r="J1240" s="60"/>
      <c r="K1240" s="60"/>
      <c r="L1240" s="60"/>
      <c r="M1240" s="60"/>
    </row>
    <row r="1241">
      <c r="A1241" s="129"/>
      <c r="B1241" s="130"/>
      <c r="C1241" s="60"/>
      <c r="D1241" s="60"/>
      <c r="E1241" s="60"/>
      <c r="F1241" s="130"/>
      <c r="G1241" s="60"/>
      <c r="H1241" s="130"/>
      <c r="I1241" s="60"/>
      <c r="J1241" s="60"/>
      <c r="K1241" s="60"/>
      <c r="L1241" s="60"/>
      <c r="M1241" s="60"/>
    </row>
    <row r="1242">
      <c r="A1242" s="129"/>
      <c r="B1242" s="130"/>
      <c r="C1242" s="60"/>
      <c r="D1242" s="60"/>
      <c r="E1242" s="60"/>
      <c r="F1242" s="130"/>
      <c r="G1242" s="60"/>
      <c r="H1242" s="130"/>
      <c r="I1242" s="60"/>
      <c r="J1242" s="60"/>
      <c r="K1242" s="60"/>
      <c r="L1242" s="60"/>
      <c r="M1242" s="60"/>
    </row>
    <row r="1243">
      <c r="A1243" s="129"/>
      <c r="B1243" s="130"/>
      <c r="C1243" s="60"/>
      <c r="D1243" s="60"/>
      <c r="E1243" s="60"/>
      <c r="F1243" s="130"/>
      <c r="G1243" s="60"/>
      <c r="H1243" s="130"/>
      <c r="I1243" s="60"/>
      <c r="J1243" s="60"/>
      <c r="K1243" s="60"/>
      <c r="L1243" s="60"/>
      <c r="M1243" s="60"/>
    </row>
    <row r="1244">
      <c r="A1244" s="129"/>
      <c r="B1244" s="130"/>
      <c r="C1244" s="60"/>
      <c r="D1244" s="60"/>
      <c r="E1244" s="60"/>
      <c r="F1244" s="130"/>
      <c r="G1244" s="60"/>
      <c r="H1244" s="130"/>
      <c r="I1244" s="60"/>
      <c r="J1244" s="60"/>
      <c r="K1244" s="60"/>
      <c r="L1244" s="60"/>
      <c r="M1244" s="60"/>
    </row>
    <row r="1245">
      <c r="A1245" s="129"/>
      <c r="B1245" s="130"/>
      <c r="C1245" s="60"/>
      <c r="D1245" s="60"/>
      <c r="E1245" s="60"/>
      <c r="F1245" s="130"/>
      <c r="G1245" s="60"/>
      <c r="H1245" s="130"/>
      <c r="I1245" s="60"/>
      <c r="J1245" s="60"/>
      <c r="K1245" s="60"/>
      <c r="L1245" s="60"/>
      <c r="M1245" s="60"/>
    </row>
    <row r="1246">
      <c r="A1246" s="129"/>
      <c r="B1246" s="130"/>
      <c r="C1246" s="60"/>
      <c r="D1246" s="60"/>
      <c r="E1246" s="60"/>
      <c r="F1246" s="130"/>
      <c r="G1246" s="60"/>
      <c r="H1246" s="130"/>
      <c r="I1246" s="60"/>
      <c r="J1246" s="60"/>
      <c r="K1246" s="60"/>
      <c r="L1246" s="60"/>
      <c r="M1246" s="60"/>
    </row>
    <row r="1247">
      <c r="A1247" s="129"/>
      <c r="B1247" s="130"/>
      <c r="C1247" s="60"/>
      <c r="D1247" s="60"/>
      <c r="E1247" s="60"/>
      <c r="F1247" s="130"/>
      <c r="G1247" s="60"/>
      <c r="H1247" s="130"/>
      <c r="I1247" s="60"/>
      <c r="J1247" s="60"/>
      <c r="K1247" s="60"/>
      <c r="L1247" s="60"/>
      <c r="M1247" s="60"/>
    </row>
    <row r="1248">
      <c r="A1248" s="129"/>
      <c r="B1248" s="130"/>
      <c r="C1248" s="60"/>
      <c r="D1248" s="60"/>
      <c r="E1248" s="60"/>
      <c r="F1248" s="130"/>
      <c r="G1248" s="60"/>
      <c r="H1248" s="130"/>
      <c r="I1248" s="60"/>
      <c r="J1248" s="60"/>
      <c r="K1248" s="60"/>
      <c r="L1248" s="60"/>
      <c r="M1248" s="60"/>
    </row>
    <row r="1249">
      <c r="A1249" s="129"/>
      <c r="B1249" s="130"/>
      <c r="C1249" s="60"/>
      <c r="D1249" s="60"/>
      <c r="E1249" s="60"/>
      <c r="F1249" s="130"/>
      <c r="G1249" s="60"/>
      <c r="H1249" s="130"/>
      <c r="I1249" s="60"/>
      <c r="J1249" s="60"/>
      <c r="K1249" s="60"/>
      <c r="L1249" s="60"/>
      <c r="M1249" s="60"/>
    </row>
    <row r="1250">
      <c r="A1250" s="129"/>
      <c r="B1250" s="130"/>
      <c r="C1250" s="60"/>
      <c r="D1250" s="60"/>
      <c r="E1250" s="60"/>
      <c r="F1250" s="130"/>
      <c r="G1250" s="60"/>
      <c r="H1250" s="130"/>
      <c r="I1250" s="60"/>
      <c r="J1250" s="60"/>
      <c r="K1250" s="60"/>
      <c r="L1250" s="60"/>
      <c r="M1250" s="60"/>
    </row>
    <row r="1251">
      <c r="A1251" s="129"/>
      <c r="B1251" s="130"/>
      <c r="C1251" s="60"/>
      <c r="D1251" s="60"/>
      <c r="E1251" s="60"/>
      <c r="F1251" s="130"/>
      <c r="G1251" s="60"/>
      <c r="H1251" s="130"/>
      <c r="I1251" s="60"/>
      <c r="J1251" s="60"/>
      <c r="K1251" s="60"/>
      <c r="L1251" s="60"/>
      <c r="M1251" s="60"/>
    </row>
    <row r="1252">
      <c r="A1252" s="129"/>
      <c r="B1252" s="130"/>
      <c r="C1252" s="60"/>
      <c r="D1252" s="60"/>
      <c r="E1252" s="60"/>
      <c r="F1252" s="130"/>
      <c r="G1252" s="60"/>
      <c r="H1252" s="130"/>
      <c r="I1252" s="60"/>
      <c r="J1252" s="60"/>
      <c r="K1252" s="60"/>
      <c r="L1252" s="60"/>
      <c r="M1252" s="60"/>
    </row>
    <row r="1253">
      <c r="A1253" s="129"/>
      <c r="B1253" s="130"/>
      <c r="C1253" s="60"/>
      <c r="D1253" s="60"/>
      <c r="E1253" s="60"/>
      <c r="F1253" s="130"/>
      <c r="G1253" s="60"/>
      <c r="H1253" s="130"/>
      <c r="I1253" s="60"/>
      <c r="J1253" s="60"/>
      <c r="K1253" s="60"/>
      <c r="L1253" s="60"/>
      <c r="M1253" s="60"/>
    </row>
    <row r="1254">
      <c r="A1254" s="129"/>
      <c r="B1254" s="130"/>
      <c r="C1254" s="60"/>
      <c r="D1254" s="60"/>
      <c r="E1254" s="60"/>
      <c r="F1254" s="130"/>
      <c r="G1254" s="60"/>
      <c r="H1254" s="130"/>
      <c r="I1254" s="60"/>
      <c r="J1254" s="60"/>
      <c r="K1254" s="60"/>
      <c r="L1254" s="60"/>
      <c r="M1254" s="60"/>
    </row>
    <row r="1255">
      <c r="A1255" s="129"/>
      <c r="B1255" s="130"/>
      <c r="C1255" s="60"/>
      <c r="D1255" s="60"/>
      <c r="E1255" s="60"/>
      <c r="F1255" s="130"/>
      <c r="G1255" s="60"/>
      <c r="H1255" s="130"/>
      <c r="I1255" s="60"/>
      <c r="J1255" s="60"/>
      <c r="K1255" s="60"/>
      <c r="L1255" s="60"/>
      <c r="M1255" s="60"/>
    </row>
    <row r="1256">
      <c r="A1256" s="129"/>
      <c r="B1256" s="130"/>
      <c r="C1256" s="60"/>
      <c r="D1256" s="60"/>
      <c r="E1256" s="60"/>
      <c r="F1256" s="130"/>
      <c r="G1256" s="60"/>
      <c r="H1256" s="130"/>
      <c r="I1256" s="60"/>
      <c r="J1256" s="60"/>
      <c r="K1256" s="60"/>
      <c r="L1256" s="60"/>
      <c r="M1256" s="60"/>
    </row>
    <row r="1257">
      <c r="A1257" s="129"/>
      <c r="B1257" s="130"/>
      <c r="C1257" s="60"/>
      <c r="D1257" s="60"/>
      <c r="E1257" s="60"/>
      <c r="F1257" s="130"/>
      <c r="G1257" s="60"/>
      <c r="H1257" s="130"/>
      <c r="I1257" s="60"/>
      <c r="J1257" s="60"/>
      <c r="K1257" s="60"/>
      <c r="L1257" s="60"/>
      <c r="M1257" s="60"/>
    </row>
    <row r="1258">
      <c r="A1258" s="129"/>
      <c r="B1258" s="130"/>
      <c r="C1258" s="60"/>
      <c r="D1258" s="60"/>
      <c r="E1258" s="60"/>
      <c r="F1258" s="130"/>
      <c r="G1258" s="60"/>
      <c r="H1258" s="130"/>
      <c r="I1258" s="60"/>
      <c r="J1258" s="60"/>
      <c r="K1258" s="60"/>
      <c r="L1258" s="60"/>
      <c r="M1258" s="60"/>
    </row>
    <row r="1259">
      <c r="A1259" s="129"/>
      <c r="B1259" s="130"/>
      <c r="C1259" s="60"/>
      <c r="D1259" s="60"/>
      <c r="E1259" s="60"/>
      <c r="F1259" s="130"/>
      <c r="G1259" s="60"/>
      <c r="H1259" s="130"/>
      <c r="I1259" s="60"/>
      <c r="J1259" s="60"/>
      <c r="K1259" s="60"/>
      <c r="L1259" s="60"/>
      <c r="M1259" s="60"/>
    </row>
    <row r="1260">
      <c r="A1260" s="129"/>
      <c r="B1260" s="130"/>
      <c r="C1260" s="60"/>
      <c r="D1260" s="60"/>
      <c r="E1260" s="60"/>
      <c r="F1260" s="130"/>
      <c r="G1260" s="60"/>
      <c r="H1260" s="130"/>
      <c r="I1260" s="60"/>
      <c r="J1260" s="60"/>
      <c r="K1260" s="60"/>
      <c r="L1260" s="60"/>
      <c r="M1260" s="60"/>
    </row>
    <row r="1261">
      <c r="A1261" s="129"/>
      <c r="B1261" s="130"/>
      <c r="C1261" s="60"/>
      <c r="D1261" s="60"/>
      <c r="E1261" s="60"/>
      <c r="F1261" s="130"/>
      <c r="G1261" s="60"/>
      <c r="H1261" s="130"/>
      <c r="I1261" s="60"/>
      <c r="J1261" s="60"/>
      <c r="K1261" s="60"/>
      <c r="L1261" s="60"/>
      <c r="M1261" s="60"/>
    </row>
    <row r="1262">
      <c r="A1262" s="129"/>
      <c r="B1262" s="130"/>
      <c r="C1262" s="60"/>
      <c r="D1262" s="60"/>
      <c r="E1262" s="60"/>
      <c r="F1262" s="130"/>
      <c r="G1262" s="60"/>
      <c r="H1262" s="130"/>
      <c r="I1262" s="60"/>
      <c r="J1262" s="60"/>
      <c r="K1262" s="60"/>
      <c r="L1262" s="60"/>
      <c r="M1262" s="60"/>
    </row>
    <row r="1263">
      <c r="A1263" s="129"/>
      <c r="B1263" s="130"/>
      <c r="C1263" s="60"/>
      <c r="D1263" s="60"/>
      <c r="E1263" s="60"/>
      <c r="F1263" s="130"/>
      <c r="G1263" s="60"/>
      <c r="H1263" s="130"/>
      <c r="I1263" s="60"/>
      <c r="J1263" s="60"/>
      <c r="K1263" s="60"/>
      <c r="L1263" s="60"/>
      <c r="M1263" s="60"/>
    </row>
    <row r="1264">
      <c r="A1264" s="129"/>
      <c r="B1264" s="130"/>
      <c r="C1264" s="60"/>
      <c r="D1264" s="60"/>
      <c r="E1264" s="60"/>
      <c r="F1264" s="130"/>
      <c r="G1264" s="60"/>
      <c r="H1264" s="130"/>
      <c r="I1264" s="60"/>
      <c r="J1264" s="60"/>
      <c r="K1264" s="60"/>
      <c r="L1264" s="60"/>
      <c r="M1264" s="60"/>
    </row>
    <row r="1265">
      <c r="A1265" s="129"/>
      <c r="B1265" s="130"/>
      <c r="C1265" s="60"/>
      <c r="D1265" s="60"/>
      <c r="E1265" s="60"/>
      <c r="F1265" s="130"/>
      <c r="G1265" s="60"/>
      <c r="H1265" s="130"/>
      <c r="I1265" s="60"/>
      <c r="J1265" s="60"/>
      <c r="K1265" s="60"/>
      <c r="L1265" s="60"/>
      <c r="M1265" s="60"/>
    </row>
    <row r="1266">
      <c r="A1266" s="129"/>
      <c r="B1266" s="130"/>
      <c r="C1266" s="60"/>
      <c r="D1266" s="60"/>
      <c r="E1266" s="60"/>
      <c r="F1266" s="130"/>
      <c r="G1266" s="60"/>
      <c r="H1266" s="130"/>
      <c r="I1266" s="60"/>
      <c r="J1266" s="60"/>
      <c r="K1266" s="60"/>
      <c r="L1266" s="60"/>
      <c r="M1266" s="60"/>
    </row>
    <row r="1267">
      <c r="A1267" s="129"/>
      <c r="B1267" s="130"/>
      <c r="C1267" s="60"/>
      <c r="D1267" s="60"/>
      <c r="E1267" s="60"/>
      <c r="F1267" s="130"/>
      <c r="G1267" s="60"/>
      <c r="H1267" s="130"/>
      <c r="I1267" s="60"/>
      <c r="J1267" s="60"/>
      <c r="K1267" s="60"/>
      <c r="L1267" s="60"/>
      <c r="M1267" s="60"/>
    </row>
    <row r="1268">
      <c r="A1268" s="129"/>
      <c r="B1268" s="130"/>
      <c r="C1268" s="60"/>
      <c r="D1268" s="60"/>
      <c r="E1268" s="60"/>
      <c r="F1268" s="130"/>
      <c r="G1268" s="60"/>
      <c r="H1268" s="130"/>
      <c r="I1268" s="60"/>
      <c r="J1268" s="60"/>
      <c r="K1268" s="60"/>
      <c r="L1268" s="60"/>
      <c r="M1268" s="60"/>
    </row>
    <row r="1269">
      <c r="A1269" s="129"/>
      <c r="B1269" s="130"/>
      <c r="C1269" s="60"/>
      <c r="D1269" s="60"/>
      <c r="E1269" s="60"/>
      <c r="F1269" s="130"/>
      <c r="G1269" s="60"/>
      <c r="H1269" s="130"/>
      <c r="I1269" s="60"/>
      <c r="J1269" s="60"/>
      <c r="K1269" s="60"/>
      <c r="L1269" s="60"/>
      <c r="M1269" s="60"/>
    </row>
    <row r="1270">
      <c r="A1270" s="129"/>
      <c r="B1270" s="130"/>
      <c r="C1270" s="60"/>
      <c r="D1270" s="60"/>
      <c r="E1270" s="60"/>
      <c r="F1270" s="130"/>
      <c r="G1270" s="60"/>
      <c r="H1270" s="130"/>
      <c r="I1270" s="60"/>
      <c r="J1270" s="60"/>
      <c r="K1270" s="60"/>
      <c r="L1270" s="60"/>
      <c r="M1270" s="60"/>
    </row>
    <row r="1271">
      <c r="A1271" s="129"/>
      <c r="B1271" s="130"/>
      <c r="C1271" s="60"/>
      <c r="D1271" s="60"/>
      <c r="E1271" s="60"/>
      <c r="F1271" s="130"/>
      <c r="G1271" s="60"/>
      <c r="H1271" s="130"/>
      <c r="I1271" s="60"/>
      <c r="J1271" s="60"/>
      <c r="K1271" s="60"/>
      <c r="L1271" s="60"/>
      <c r="M1271" s="60"/>
    </row>
    <row r="1272">
      <c r="A1272" s="129"/>
      <c r="B1272" s="130"/>
      <c r="C1272" s="60"/>
      <c r="D1272" s="60"/>
      <c r="E1272" s="60"/>
      <c r="F1272" s="130"/>
      <c r="G1272" s="60"/>
      <c r="H1272" s="130"/>
      <c r="I1272" s="60"/>
      <c r="J1272" s="60"/>
      <c r="K1272" s="60"/>
      <c r="L1272" s="60"/>
      <c r="M1272" s="60"/>
    </row>
    <row r="1273">
      <c r="A1273" s="129"/>
      <c r="B1273" s="130"/>
      <c r="C1273" s="60"/>
      <c r="D1273" s="60"/>
      <c r="E1273" s="60"/>
      <c r="F1273" s="130"/>
      <c r="G1273" s="60"/>
      <c r="H1273" s="130"/>
      <c r="I1273" s="60"/>
      <c r="J1273" s="60"/>
      <c r="K1273" s="60"/>
      <c r="L1273" s="60"/>
      <c r="M1273" s="60"/>
    </row>
    <row r="1274">
      <c r="A1274" s="129"/>
      <c r="B1274" s="130"/>
      <c r="C1274" s="60"/>
      <c r="D1274" s="60"/>
      <c r="E1274" s="60"/>
      <c r="F1274" s="130"/>
      <c r="G1274" s="60"/>
      <c r="H1274" s="130"/>
      <c r="I1274" s="60"/>
      <c r="J1274" s="60"/>
      <c r="K1274" s="60"/>
      <c r="L1274" s="60"/>
      <c r="M1274" s="60"/>
    </row>
    <row r="1275">
      <c r="A1275" s="129"/>
      <c r="B1275" s="130"/>
      <c r="C1275" s="60"/>
      <c r="D1275" s="60"/>
      <c r="E1275" s="60"/>
      <c r="F1275" s="130"/>
      <c r="G1275" s="60"/>
      <c r="H1275" s="130"/>
      <c r="I1275" s="60"/>
      <c r="J1275" s="60"/>
      <c r="K1275" s="60"/>
      <c r="L1275" s="60"/>
      <c r="M1275" s="60"/>
    </row>
    <row r="1276">
      <c r="A1276" s="129"/>
      <c r="B1276" s="130"/>
      <c r="C1276" s="60"/>
      <c r="D1276" s="60"/>
      <c r="E1276" s="60"/>
      <c r="F1276" s="130"/>
      <c r="G1276" s="60"/>
      <c r="H1276" s="130"/>
      <c r="I1276" s="60"/>
      <c r="J1276" s="60"/>
      <c r="K1276" s="60"/>
      <c r="L1276" s="60"/>
      <c r="M1276" s="60"/>
    </row>
    <row r="1277">
      <c r="A1277" s="129"/>
      <c r="B1277" s="130"/>
      <c r="C1277" s="60"/>
      <c r="D1277" s="60"/>
      <c r="E1277" s="60"/>
      <c r="F1277" s="130"/>
      <c r="G1277" s="60"/>
      <c r="H1277" s="130"/>
      <c r="I1277" s="60"/>
      <c r="J1277" s="60"/>
      <c r="K1277" s="60"/>
      <c r="L1277" s="60"/>
      <c r="M1277" s="60"/>
    </row>
    <row r="1278">
      <c r="A1278" s="129"/>
      <c r="B1278" s="130"/>
      <c r="C1278" s="60"/>
      <c r="D1278" s="60"/>
      <c r="E1278" s="60"/>
      <c r="F1278" s="130"/>
      <c r="G1278" s="60"/>
      <c r="H1278" s="130"/>
      <c r="I1278" s="60"/>
      <c r="J1278" s="60"/>
      <c r="K1278" s="60"/>
      <c r="L1278" s="60"/>
      <c r="M1278" s="60"/>
    </row>
    <row r="1279">
      <c r="A1279" s="129"/>
      <c r="B1279" s="130"/>
      <c r="C1279" s="60"/>
      <c r="D1279" s="60"/>
      <c r="E1279" s="60"/>
      <c r="F1279" s="130"/>
      <c r="G1279" s="60"/>
      <c r="H1279" s="130"/>
      <c r="I1279" s="60"/>
      <c r="J1279" s="60"/>
      <c r="K1279" s="60"/>
      <c r="L1279" s="60"/>
      <c r="M1279" s="60"/>
    </row>
    <row r="1280">
      <c r="A1280" s="129"/>
      <c r="B1280" s="130"/>
      <c r="C1280" s="60"/>
      <c r="D1280" s="60"/>
      <c r="E1280" s="60"/>
      <c r="F1280" s="130"/>
      <c r="G1280" s="60"/>
      <c r="H1280" s="130"/>
      <c r="I1280" s="60"/>
      <c r="J1280" s="60"/>
      <c r="K1280" s="60"/>
      <c r="L1280" s="60"/>
      <c r="M1280" s="60"/>
    </row>
    <row r="1281">
      <c r="A1281" s="129"/>
      <c r="B1281" s="130"/>
      <c r="C1281" s="60"/>
      <c r="D1281" s="60"/>
      <c r="E1281" s="60"/>
      <c r="F1281" s="130"/>
      <c r="G1281" s="60"/>
      <c r="H1281" s="130"/>
      <c r="I1281" s="60"/>
      <c r="J1281" s="60"/>
      <c r="K1281" s="60"/>
      <c r="L1281" s="60"/>
      <c r="M1281" s="60"/>
    </row>
    <row r="1282">
      <c r="A1282" s="129"/>
      <c r="B1282" s="130"/>
      <c r="C1282" s="60"/>
      <c r="D1282" s="60"/>
      <c r="E1282" s="60"/>
      <c r="F1282" s="130"/>
      <c r="G1282" s="60"/>
      <c r="H1282" s="130"/>
      <c r="I1282" s="60"/>
      <c r="J1282" s="60"/>
      <c r="K1282" s="60"/>
      <c r="L1282" s="60"/>
      <c r="M1282" s="60"/>
    </row>
    <row r="1283">
      <c r="A1283" s="129"/>
      <c r="B1283" s="130"/>
      <c r="C1283" s="60"/>
      <c r="D1283" s="60"/>
      <c r="E1283" s="60"/>
      <c r="F1283" s="130"/>
      <c r="G1283" s="60"/>
      <c r="H1283" s="130"/>
      <c r="I1283" s="60"/>
      <c r="J1283" s="60"/>
      <c r="K1283" s="60"/>
      <c r="L1283" s="60"/>
      <c r="M1283" s="60"/>
    </row>
    <row r="1284">
      <c r="A1284" s="129"/>
      <c r="B1284" s="130"/>
      <c r="C1284" s="60"/>
      <c r="D1284" s="60"/>
      <c r="E1284" s="60"/>
      <c r="F1284" s="130"/>
      <c r="G1284" s="60"/>
      <c r="H1284" s="130"/>
      <c r="I1284" s="60"/>
      <c r="J1284" s="60"/>
      <c r="K1284" s="60"/>
      <c r="L1284" s="60"/>
      <c r="M1284" s="60"/>
    </row>
    <row r="1285">
      <c r="A1285" s="129"/>
      <c r="B1285" s="130"/>
      <c r="C1285" s="60"/>
      <c r="D1285" s="60"/>
      <c r="E1285" s="60"/>
      <c r="F1285" s="130"/>
      <c r="G1285" s="60"/>
      <c r="H1285" s="130"/>
      <c r="I1285" s="60"/>
      <c r="J1285" s="60"/>
      <c r="K1285" s="60"/>
      <c r="L1285" s="60"/>
      <c r="M1285" s="60"/>
    </row>
    <row r="1286">
      <c r="A1286" s="129"/>
      <c r="B1286" s="130"/>
      <c r="C1286" s="60"/>
      <c r="D1286" s="60"/>
      <c r="E1286" s="60"/>
      <c r="F1286" s="130"/>
      <c r="G1286" s="60"/>
      <c r="H1286" s="130"/>
      <c r="I1286" s="60"/>
      <c r="J1286" s="60"/>
      <c r="K1286" s="60"/>
      <c r="L1286" s="60"/>
      <c r="M1286" s="60"/>
    </row>
    <row r="1287">
      <c r="A1287" s="129"/>
      <c r="B1287" s="130"/>
      <c r="C1287" s="60"/>
      <c r="D1287" s="60"/>
      <c r="E1287" s="60"/>
      <c r="F1287" s="130"/>
      <c r="G1287" s="60"/>
      <c r="H1287" s="130"/>
      <c r="I1287" s="60"/>
      <c r="J1287" s="60"/>
      <c r="K1287" s="60"/>
      <c r="L1287" s="60"/>
      <c r="M1287" s="60"/>
    </row>
    <row r="1288">
      <c r="A1288" s="129"/>
      <c r="B1288" s="130"/>
      <c r="C1288" s="60"/>
      <c r="D1288" s="60"/>
      <c r="E1288" s="60"/>
      <c r="F1288" s="130"/>
      <c r="G1288" s="60"/>
      <c r="H1288" s="130"/>
      <c r="I1288" s="60"/>
      <c r="J1288" s="60"/>
      <c r="K1288" s="60"/>
      <c r="L1288" s="60"/>
      <c r="M1288" s="60"/>
    </row>
    <row r="1289">
      <c r="A1289" s="129"/>
      <c r="B1289" s="130"/>
      <c r="C1289" s="60"/>
      <c r="D1289" s="60"/>
      <c r="E1289" s="60"/>
      <c r="F1289" s="130"/>
      <c r="G1289" s="60"/>
      <c r="H1289" s="130"/>
      <c r="I1289" s="60"/>
      <c r="J1289" s="60"/>
      <c r="K1289" s="60"/>
      <c r="L1289" s="60"/>
      <c r="M1289" s="60"/>
    </row>
    <row r="1290">
      <c r="A1290" s="129"/>
      <c r="B1290" s="130"/>
      <c r="C1290" s="60"/>
      <c r="D1290" s="60"/>
      <c r="E1290" s="60"/>
      <c r="F1290" s="130"/>
      <c r="G1290" s="60"/>
      <c r="H1290" s="130"/>
      <c r="I1290" s="60"/>
      <c r="J1290" s="60"/>
      <c r="K1290" s="60"/>
      <c r="L1290" s="60"/>
      <c r="M1290" s="60"/>
    </row>
    <row r="1291">
      <c r="A1291" s="129"/>
      <c r="B1291" s="130"/>
      <c r="C1291" s="60"/>
      <c r="D1291" s="60"/>
      <c r="E1291" s="60"/>
      <c r="F1291" s="130"/>
      <c r="G1291" s="60"/>
      <c r="H1291" s="130"/>
      <c r="I1291" s="60"/>
      <c r="J1291" s="60"/>
      <c r="K1291" s="60"/>
      <c r="L1291" s="60"/>
      <c r="M1291" s="60"/>
    </row>
    <row r="1292">
      <c r="A1292" s="129"/>
      <c r="B1292" s="130"/>
      <c r="C1292" s="60"/>
      <c r="D1292" s="60"/>
      <c r="E1292" s="60"/>
      <c r="F1292" s="130"/>
      <c r="G1292" s="60"/>
      <c r="H1292" s="130"/>
      <c r="I1292" s="60"/>
      <c r="J1292" s="60"/>
      <c r="K1292" s="60"/>
      <c r="L1292" s="60"/>
      <c r="M1292" s="60"/>
    </row>
    <row r="1293">
      <c r="A1293" s="129"/>
      <c r="B1293" s="130"/>
      <c r="C1293" s="60"/>
      <c r="D1293" s="60"/>
      <c r="E1293" s="60"/>
      <c r="F1293" s="130"/>
      <c r="G1293" s="60"/>
      <c r="H1293" s="130"/>
      <c r="I1293" s="60"/>
      <c r="J1293" s="60"/>
      <c r="K1293" s="60"/>
      <c r="L1293" s="60"/>
      <c r="M1293" s="60"/>
    </row>
    <row r="1294">
      <c r="A1294" s="129"/>
      <c r="B1294" s="130"/>
      <c r="C1294" s="60"/>
      <c r="D1294" s="60"/>
      <c r="E1294" s="60"/>
      <c r="F1294" s="130"/>
      <c r="G1294" s="60"/>
      <c r="H1294" s="130"/>
      <c r="I1294" s="60"/>
      <c r="J1294" s="60"/>
      <c r="K1294" s="60"/>
      <c r="L1294" s="60"/>
      <c r="M1294" s="60"/>
    </row>
    <row r="1295">
      <c r="A1295" s="129"/>
      <c r="B1295" s="130"/>
      <c r="C1295" s="60"/>
      <c r="D1295" s="60"/>
      <c r="E1295" s="60"/>
      <c r="F1295" s="130"/>
      <c r="G1295" s="60"/>
      <c r="H1295" s="130"/>
      <c r="I1295" s="60"/>
      <c r="J1295" s="60"/>
      <c r="K1295" s="60"/>
      <c r="L1295" s="60"/>
      <c r="M1295" s="60"/>
    </row>
    <row r="1296">
      <c r="A1296" s="129"/>
      <c r="B1296" s="130"/>
      <c r="C1296" s="60"/>
      <c r="D1296" s="60"/>
      <c r="E1296" s="60"/>
      <c r="F1296" s="130"/>
      <c r="G1296" s="60"/>
      <c r="H1296" s="130"/>
      <c r="I1296" s="60"/>
      <c r="J1296" s="60"/>
      <c r="K1296" s="60"/>
      <c r="L1296" s="60"/>
      <c r="M1296" s="60"/>
    </row>
    <row r="1297">
      <c r="A1297" s="129"/>
      <c r="B1297" s="130"/>
      <c r="C1297" s="60"/>
      <c r="D1297" s="60"/>
      <c r="E1297" s="60"/>
      <c r="F1297" s="130"/>
      <c r="G1297" s="60"/>
      <c r="H1297" s="130"/>
      <c r="I1297" s="60"/>
      <c r="J1297" s="60"/>
      <c r="K1297" s="60"/>
      <c r="L1297" s="60"/>
      <c r="M1297" s="60"/>
    </row>
    <row r="1298">
      <c r="A1298" s="129"/>
      <c r="B1298" s="130"/>
      <c r="C1298" s="60"/>
      <c r="D1298" s="60"/>
      <c r="E1298" s="60"/>
      <c r="F1298" s="130"/>
      <c r="G1298" s="60"/>
      <c r="H1298" s="130"/>
      <c r="I1298" s="60"/>
      <c r="J1298" s="60"/>
      <c r="K1298" s="60"/>
      <c r="L1298" s="60"/>
      <c r="M1298" s="60"/>
    </row>
    <row r="1299">
      <c r="A1299" s="129"/>
      <c r="B1299" s="130"/>
      <c r="C1299" s="60"/>
      <c r="D1299" s="60"/>
      <c r="E1299" s="60"/>
      <c r="F1299" s="130"/>
      <c r="G1299" s="60"/>
      <c r="H1299" s="130"/>
      <c r="I1299" s="60"/>
      <c r="J1299" s="60"/>
      <c r="K1299" s="60"/>
      <c r="L1299" s="60"/>
      <c r="M1299" s="60"/>
    </row>
    <row r="1300">
      <c r="A1300" s="129"/>
      <c r="B1300" s="130"/>
      <c r="C1300" s="60"/>
      <c r="D1300" s="60"/>
      <c r="E1300" s="60"/>
      <c r="F1300" s="130"/>
      <c r="G1300" s="60"/>
      <c r="H1300" s="130"/>
      <c r="I1300" s="60"/>
      <c r="J1300" s="60"/>
      <c r="K1300" s="60"/>
      <c r="L1300" s="60"/>
      <c r="M1300" s="60"/>
    </row>
    <row r="1301">
      <c r="A1301" s="129"/>
      <c r="B1301" s="130"/>
      <c r="C1301" s="60"/>
      <c r="D1301" s="60"/>
      <c r="E1301" s="60"/>
      <c r="F1301" s="130"/>
      <c r="G1301" s="60"/>
      <c r="H1301" s="130"/>
      <c r="I1301" s="60"/>
      <c r="J1301" s="60"/>
      <c r="K1301" s="60"/>
      <c r="L1301" s="60"/>
      <c r="M1301" s="60"/>
    </row>
    <row r="1302">
      <c r="A1302" s="129"/>
      <c r="B1302" s="130"/>
      <c r="C1302" s="60"/>
      <c r="D1302" s="60"/>
      <c r="E1302" s="60"/>
      <c r="F1302" s="130"/>
      <c r="G1302" s="60"/>
      <c r="H1302" s="130"/>
      <c r="I1302" s="60"/>
      <c r="J1302" s="60"/>
      <c r="K1302" s="60"/>
      <c r="L1302" s="60"/>
      <c r="M1302" s="60"/>
    </row>
    <row r="1303">
      <c r="A1303" s="129"/>
      <c r="B1303" s="130"/>
      <c r="C1303" s="60"/>
      <c r="D1303" s="60"/>
      <c r="E1303" s="60"/>
      <c r="F1303" s="130"/>
      <c r="G1303" s="60"/>
      <c r="H1303" s="130"/>
      <c r="I1303" s="60"/>
      <c r="J1303" s="60"/>
      <c r="K1303" s="60"/>
      <c r="L1303" s="60"/>
      <c r="M1303" s="60"/>
    </row>
    <row r="1304">
      <c r="A1304" s="129"/>
      <c r="B1304" s="130"/>
      <c r="C1304" s="60"/>
      <c r="D1304" s="60"/>
      <c r="E1304" s="60"/>
      <c r="F1304" s="130"/>
      <c r="G1304" s="60"/>
      <c r="H1304" s="130"/>
      <c r="I1304" s="60"/>
      <c r="J1304" s="60"/>
      <c r="K1304" s="60"/>
      <c r="L1304" s="60"/>
      <c r="M1304" s="60"/>
    </row>
    <row r="1305">
      <c r="A1305" s="129"/>
      <c r="B1305" s="130"/>
      <c r="C1305" s="60"/>
      <c r="D1305" s="60"/>
      <c r="E1305" s="60"/>
      <c r="F1305" s="130"/>
      <c r="G1305" s="60"/>
      <c r="H1305" s="130"/>
      <c r="I1305" s="60"/>
      <c r="J1305" s="60"/>
      <c r="K1305" s="60"/>
      <c r="L1305" s="60"/>
      <c r="M1305" s="60"/>
    </row>
    <row r="1306">
      <c r="A1306" s="129"/>
      <c r="B1306" s="130"/>
      <c r="C1306" s="60"/>
      <c r="D1306" s="60"/>
      <c r="E1306" s="60"/>
      <c r="F1306" s="130"/>
      <c r="G1306" s="60"/>
      <c r="H1306" s="130"/>
      <c r="I1306" s="60"/>
      <c r="J1306" s="60"/>
      <c r="K1306" s="60"/>
      <c r="L1306" s="60"/>
      <c r="M1306" s="60"/>
    </row>
    <row r="1307">
      <c r="A1307" s="129"/>
      <c r="B1307" s="130"/>
      <c r="C1307" s="60"/>
      <c r="D1307" s="60"/>
      <c r="E1307" s="60"/>
      <c r="F1307" s="130"/>
      <c r="G1307" s="60"/>
      <c r="H1307" s="130"/>
      <c r="I1307" s="60"/>
      <c r="J1307" s="60"/>
      <c r="K1307" s="60"/>
      <c r="L1307" s="60"/>
      <c r="M1307" s="60"/>
    </row>
    <row r="1308">
      <c r="A1308" s="129"/>
      <c r="B1308" s="130"/>
      <c r="C1308" s="60"/>
      <c r="D1308" s="60"/>
      <c r="E1308" s="60"/>
      <c r="F1308" s="130"/>
      <c r="G1308" s="60"/>
      <c r="H1308" s="130"/>
      <c r="I1308" s="60"/>
      <c r="J1308" s="60"/>
      <c r="K1308" s="60"/>
      <c r="L1308" s="60"/>
      <c r="M1308" s="60"/>
    </row>
    <row r="1309">
      <c r="A1309" s="129"/>
      <c r="B1309" s="130"/>
      <c r="C1309" s="60"/>
      <c r="D1309" s="60"/>
      <c r="E1309" s="60"/>
      <c r="F1309" s="130"/>
      <c r="G1309" s="60"/>
      <c r="H1309" s="130"/>
      <c r="I1309" s="60"/>
      <c r="J1309" s="60"/>
      <c r="K1309" s="60"/>
      <c r="L1309" s="60"/>
      <c r="M1309" s="60"/>
    </row>
    <row r="1310">
      <c r="A1310" s="129"/>
      <c r="B1310" s="130"/>
      <c r="C1310" s="60"/>
      <c r="D1310" s="60"/>
      <c r="E1310" s="60"/>
      <c r="F1310" s="130"/>
      <c r="G1310" s="60"/>
      <c r="H1310" s="130"/>
      <c r="I1310" s="60"/>
      <c r="J1310" s="60"/>
      <c r="K1310" s="60"/>
      <c r="L1310" s="60"/>
      <c r="M1310" s="60"/>
    </row>
    <row r="1311">
      <c r="A1311" s="129"/>
      <c r="B1311" s="130"/>
      <c r="C1311" s="60"/>
      <c r="D1311" s="60"/>
      <c r="E1311" s="60"/>
      <c r="F1311" s="130"/>
      <c r="G1311" s="60"/>
      <c r="H1311" s="130"/>
      <c r="I1311" s="60"/>
      <c r="J1311" s="60"/>
      <c r="K1311" s="60"/>
      <c r="L1311" s="60"/>
      <c r="M1311" s="60"/>
    </row>
    <row r="1312">
      <c r="A1312" s="129"/>
      <c r="B1312" s="130"/>
      <c r="C1312" s="60"/>
      <c r="D1312" s="60"/>
      <c r="E1312" s="60"/>
      <c r="F1312" s="130"/>
      <c r="G1312" s="60"/>
      <c r="H1312" s="130"/>
      <c r="I1312" s="60"/>
      <c r="J1312" s="60"/>
      <c r="K1312" s="60"/>
      <c r="L1312" s="60"/>
      <c r="M1312" s="60"/>
    </row>
    <row r="1313">
      <c r="A1313" s="129"/>
      <c r="B1313" s="130"/>
      <c r="C1313" s="60"/>
      <c r="D1313" s="60"/>
      <c r="E1313" s="60"/>
      <c r="F1313" s="130"/>
      <c r="G1313" s="60"/>
      <c r="H1313" s="130"/>
      <c r="I1313" s="60"/>
      <c r="J1313" s="60"/>
      <c r="K1313" s="60"/>
      <c r="L1313" s="60"/>
      <c r="M1313" s="60"/>
    </row>
    <row r="1314">
      <c r="A1314" s="129"/>
      <c r="B1314" s="130"/>
      <c r="C1314" s="60"/>
      <c r="D1314" s="60"/>
      <c r="E1314" s="60"/>
      <c r="F1314" s="130"/>
      <c r="G1314" s="60"/>
      <c r="H1314" s="130"/>
      <c r="I1314" s="60"/>
      <c r="J1314" s="60"/>
      <c r="K1314" s="60"/>
      <c r="L1314" s="60"/>
      <c r="M1314" s="60"/>
    </row>
    <row r="1315">
      <c r="A1315" s="129"/>
      <c r="B1315" s="130"/>
      <c r="C1315" s="60"/>
      <c r="D1315" s="60"/>
      <c r="E1315" s="60"/>
      <c r="F1315" s="130"/>
      <c r="G1315" s="60"/>
      <c r="H1315" s="130"/>
      <c r="I1315" s="60"/>
      <c r="J1315" s="60"/>
      <c r="K1315" s="60"/>
      <c r="L1315" s="60"/>
      <c r="M1315" s="60"/>
    </row>
    <row r="1316">
      <c r="A1316" s="129"/>
      <c r="B1316" s="130"/>
      <c r="C1316" s="60"/>
      <c r="D1316" s="60"/>
      <c r="E1316" s="60"/>
      <c r="F1316" s="130"/>
      <c r="G1316" s="60"/>
      <c r="H1316" s="130"/>
      <c r="I1316" s="60"/>
      <c r="J1316" s="60"/>
      <c r="K1316" s="60"/>
      <c r="L1316" s="60"/>
      <c r="M1316" s="60"/>
    </row>
    <row r="1317">
      <c r="A1317" s="129"/>
      <c r="B1317" s="130"/>
      <c r="C1317" s="60"/>
      <c r="D1317" s="60"/>
      <c r="E1317" s="60"/>
      <c r="F1317" s="130"/>
      <c r="G1317" s="60"/>
      <c r="H1317" s="130"/>
      <c r="I1317" s="60"/>
      <c r="J1317" s="60"/>
      <c r="K1317" s="60"/>
      <c r="L1317" s="60"/>
      <c r="M1317" s="60"/>
    </row>
    <row r="1318">
      <c r="A1318" s="129"/>
      <c r="B1318" s="130"/>
      <c r="C1318" s="60"/>
      <c r="D1318" s="60"/>
      <c r="E1318" s="60"/>
      <c r="F1318" s="130"/>
      <c r="G1318" s="60"/>
      <c r="H1318" s="130"/>
      <c r="I1318" s="60"/>
      <c r="J1318" s="60"/>
      <c r="K1318" s="60"/>
      <c r="L1318" s="60"/>
      <c r="M1318" s="60"/>
    </row>
    <row r="1319">
      <c r="A1319" s="129"/>
      <c r="B1319" s="130"/>
      <c r="C1319" s="60"/>
      <c r="D1319" s="60"/>
      <c r="E1319" s="60"/>
      <c r="F1319" s="130"/>
      <c r="G1319" s="60"/>
      <c r="H1319" s="130"/>
      <c r="I1319" s="60"/>
      <c r="J1319" s="60"/>
      <c r="K1319" s="60"/>
      <c r="L1319" s="60"/>
      <c r="M1319" s="60"/>
    </row>
    <row r="1320">
      <c r="A1320" s="129"/>
      <c r="B1320" s="130"/>
      <c r="C1320" s="60"/>
      <c r="D1320" s="60"/>
      <c r="E1320" s="60"/>
      <c r="F1320" s="130"/>
      <c r="G1320" s="60"/>
      <c r="H1320" s="130"/>
      <c r="I1320" s="60"/>
      <c r="J1320" s="60"/>
      <c r="K1320" s="60"/>
      <c r="L1320" s="60"/>
      <c r="M1320" s="60"/>
    </row>
    <row r="1321">
      <c r="A1321" s="129"/>
      <c r="B1321" s="130"/>
      <c r="C1321" s="60"/>
      <c r="D1321" s="60"/>
      <c r="E1321" s="60"/>
      <c r="F1321" s="130"/>
      <c r="G1321" s="60"/>
      <c r="H1321" s="130"/>
      <c r="I1321" s="60"/>
      <c r="J1321" s="60"/>
      <c r="K1321" s="60"/>
      <c r="L1321" s="60"/>
      <c r="M1321" s="60"/>
    </row>
    <row r="1322">
      <c r="A1322" s="129"/>
      <c r="B1322" s="130"/>
      <c r="C1322" s="60"/>
      <c r="D1322" s="60"/>
      <c r="E1322" s="60"/>
      <c r="F1322" s="130"/>
      <c r="G1322" s="60"/>
      <c r="H1322" s="130"/>
      <c r="I1322" s="60"/>
      <c r="J1322" s="60"/>
      <c r="K1322" s="60"/>
      <c r="L1322" s="60"/>
      <c r="M1322" s="60"/>
    </row>
    <row r="1323">
      <c r="A1323" s="129"/>
      <c r="B1323" s="130"/>
      <c r="C1323" s="60"/>
      <c r="D1323" s="60"/>
      <c r="E1323" s="60"/>
      <c r="F1323" s="130"/>
      <c r="G1323" s="60"/>
      <c r="H1323" s="130"/>
      <c r="I1323" s="60"/>
      <c r="J1323" s="60"/>
      <c r="K1323" s="60"/>
      <c r="L1323" s="60"/>
      <c r="M1323" s="60"/>
    </row>
    <row r="1324">
      <c r="A1324" s="129"/>
      <c r="B1324" s="130"/>
      <c r="C1324" s="60"/>
      <c r="D1324" s="60"/>
      <c r="E1324" s="60"/>
      <c r="F1324" s="130"/>
      <c r="G1324" s="60"/>
      <c r="H1324" s="130"/>
      <c r="I1324" s="60"/>
      <c r="J1324" s="60"/>
      <c r="K1324" s="60"/>
      <c r="L1324" s="60"/>
      <c r="M1324" s="60"/>
    </row>
    <row r="1325">
      <c r="A1325" s="129"/>
      <c r="B1325" s="130"/>
      <c r="C1325" s="60"/>
      <c r="D1325" s="60"/>
      <c r="E1325" s="60"/>
      <c r="F1325" s="130"/>
      <c r="G1325" s="60"/>
      <c r="H1325" s="130"/>
      <c r="I1325" s="60"/>
      <c r="J1325" s="60"/>
      <c r="K1325" s="60"/>
      <c r="L1325" s="60"/>
      <c r="M1325" s="60"/>
    </row>
    <row r="1326">
      <c r="A1326" s="129"/>
      <c r="B1326" s="130"/>
      <c r="C1326" s="60"/>
      <c r="D1326" s="60"/>
      <c r="E1326" s="60"/>
      <c r="F1326" s="130"/>
      <c r="G1326" s="60"/>
      <c r="H1326" s="130"/>
      <c r="I1326" s="60"/>
      <c r="J1326" s="60"/>
      <c r="K1326" s="60"/>
      <c r="L1326" s="60"/>
      <c r="M1326" s="60"/>
    </row>
    <row r="1327">
      <c r="A1327" s="129"/>
      <c r="B1327" s="130"/>
      <c r="C1327" s="60"/>
      <c r="D1327" s="60"/>
      <c r="E1327" s="60"/>
      <c r="F1327" s="130"/>
      <c r="G1327" s="60"/>
      <c r="H1327" s="130"/>
      <c r="I1327" s="60"/>
      <c r="J1327" s="60"/>
      <c r="K1327" s="60"/>
      <c r="L1327" s="60"/>
      <c r="M1327" s="60"/>
    </row>
    <row r="1328">
      <c r="A1328" s="129"/>
      <c r="B1328" s="130"/>
      <c r="C1328" s="60"/>
      <c r="D1328" s="60"/>
      <c r="E1328" s="60"/>
      <c r="F1328" s="130"/>
      <c r="G1328" s="60"/>
      <c r="H1328" s="130"/>
      <c r="I1328" s="60"/>
      <c r="J1328" s="60"/>
      <c r="K1328" s="60"/>
      <c r="L1328" s="60"/>
      <c r="M1328" s="60"/>
    </row>
    <row r="1329">
      <c r="A1329" s="129"/>
      <c r="B1329" s="130"/>
      <c r="C1329" s="60"/>
      <c r="D1329" s="60"/>
      <c r="E1329" s="60"/>
      <c r="F1329" s="130"/>
      <c r="G1329" s="60"/>
      <c r="H1329" s="130"/>
      <c r="I1329" s="60"/>
      <c r="J1329" s="60"/>
      <c r="K1329" s="60"/>
      <c r="L1329" s="60"/>
      <c r="M1329" s="60"/>
    </row>
    <row r="1330">
      <c r="A1330" s="129"/>
      <c r="B1330" s="130"/>
      <c r="C1330" s="60"/>
      <c r="D1330" s="60"/>
      <c r="E1330" s="60"/>
      <c r="F1330" s="130"/>
      <c r="G1330" s="60"/>
      <c r="H1330" s="130"/>
      <c r="I1330" s="60"/>
      <c r="J1330" s="60"/>
      <c r="K1330" s="60"/>
      <c r="L1330" s="60"/>
      <c r="M1330" s="60"/>
    </row>
    <row r="1331">
      <c r="A1331" s="129"/>
      <c r="B1331" s="130"/>
      <c r="C1331" s="60"/>
      <c r="D1331" s="60"/>
      <c r="E1331" s="60"/>
      <c r="F1331" s="130"/>
      <c r="G1331" s="60"/>
      <c r="H1331" s="130"/>
      <c r="I1331" s="60"/>
      <c r="J1331" s="60"/>
      <c r="K1331" s="60"/>
      <c r="L1331" s="60"/>
      <c r="M1331" s="60"/>
    </row>
    <row r="1332">
      <c r="A1332" s="129"/>
      <c r="B1332" s="130"/>
      <c r="C1332" s="60"/>
      <c r="D1332" s="60"/>
      <c r="E1332" s="60"/>
      <c r="F1332" s="130"/>
      <c r="G1332" s="60"/>
      <c r="H1332" s="130"/>
      <c r="I1332" s="60"/>
      <c r="J1332" s="60"/>
      <c r="K1332" s="60"/>
      <c r="L1332" s="60"/>
      <c r="M1332" s="60"/>
    </row>
    <row r="1333">
      <c r="A1333" s="129"/>
      <c r="B1333" s="130"/>
      <c r="C1333" s="60"/>
      <c r="D1333" s="60"/>
      <c r="E1333" s="60"/>
      <c r="F1333" s="130"/>
      <c r="G1333" s="60"/>
      <c r="H1333" s="130"/>
      <c r="I1333" s="60"/>
      <c r="J1333" s="60"/>
      <c r="K1333" s="60"/>
      <c r="L1333" s="60"/>
      <c r="M1333" s="60"/>
    </row>
    <row r="1334">
      <c r="A1334" s="129"/>
      <c r="B1334" s="130"/>
      <c r="C1334" s="60"/>
      <c r="D1334" s="60"/>
      <c r="E1334" s="60"/>
      <c r="F1334" s="130"/>
      <c r="G1334" s="60"/>
      <c r="H1334" s="130"/>
      <c r="I1334" s="60"/>
      <c r="J1334" s="60"/>
      <c r="K1334" s="60"/>
      <c r="L1334" s="60"/>
      <c r="M1334" s="60"/>
    </row>
    <row r="1335">
      <c r="A1335" s="129"/>
      <c r="B1335" s="130"/>
      <c r="C1335" s="60"/>
      <c r="D1335" s="60"/>
      <c r="E1335" s="60"/>
      <c r="F1335" s="130"/>
      <c r="G1335" s="60"/>
      <c r="H1335" s="130"/>
      <c r="I1335" s="60"/>
      <c r="J1335" s="60"/>
      <c r="K1335" s="60"/>
      <c r="L1335" s="60"/>
      <c r="M1335" s="60"/>
    </row>
    <row r="1336">
      <c r="A1336" s="129"/>
      <c r="B1336" s="130"/>
      <c r="C1336" s="60"/>
      <c r="D1336" s="60"/>
      <c r="E1336" s="60"/>
      <c r="F1336" s="130"/>
      <c r="G1336" s="60"/>
      <c r="H1336" s="130"/>
      <c r="I1336" s="60"/>
      <c r="J1336" s="60"/>
      <c r="K1336" s="60"/>
      <c r="L1336" s="60"/>
      <c r="M1336" s="60"/>
    </row>
    <row r="1337">
      <c r="A1337" s="129"/>
      <c r="B1337" s="130"/>
      <c r="C1337" s="60"/>
      <c r="D1337" s="60"/>
      <c r="E1337" s="60"/>
      <c r="F1337" s="130"/>
      <c r="G1337" s="60"/>
      <c r="H1337" s="130"/>
      <c r="I1337" s="60"/>
      <c r="J1337" s="60"/>
      <c r="K1337" s="60"/>
      <c r="L1337" s="60"/>
      <c r="M1337" s="60"/>
    </row>
    <row r="1338">
      <c r="A1338" s="129"/>
      <c r="B1338" s="130"/>
      <c r="C1338" s="60"/>
      <c r="D1338" s="60"/>
      <c r="E1338" s="60"/>
      <c r="F1338" s="130"/>
      <c r="G1338" s="60"/>
      <c r="H1338" s="130"/>
      <c r="I1338" s="60"/>
      <c r="J1338" s="60"/>
      <c r="K1338" s="60"/>
      <c r="L1338" s="60"/>
      <c r="M1338" s="60"/>
    </row>
    <row r="1339">
      <c r="A1339" s="129"/>
      <c r="B1339" s="130"/>
      <c r="C1339" s="60"/>
      <c r="D1339" s="60"/>
      <c r="E1339" s="60"/>
      <c r="F1339" s="130"/>
      <c r="G1339" s="60"/>
      <c r="H1339" s="130"/>
      <c r="I1339" s="60"/>
      <c r="J1339" s="60"/>
      <c r="K1339" s="60"/>
      <c r="L1339" s="60"/>
      <c r="M1339" s="60"/>
    </row>
    <row r="1340">
      <c r="A1340" s="129"/>
      <c r="B1340" s="130"/>
      <c r="C1340" s="60"/>
      <c r="D1340" s="60"/>
      <c r="E1340" s="60"/>
      <c r="F1340" s="130"/>
      <c r="G1340" s="60"/>
      <c r="H1340" s="130"/>
      <c r="I1340" s="60"/>
      <c r="J1340" s="60"/>
      <c r="K1340" s="60"/>
      <c r="L1340" s="60"/>
      <c r="M1340" s="60"/>
    </row>
    <row r="1341">
      <c r="A1341" s="129"/>
      <c r="B1341" s="130"/>
      <c r="C1341" s="60"/>
      <c r="D1341" s="60"/>
      <c r="E1341" s="60"/>
      <c r="F1341" s="130"/>
      <c r="G1341" s="60"/>
      <c r="H1341" s="130"/>
      <c r="I1341" s="60"/>
      <c r="J1341" s="60"/>
      <c r="K1341" s="60"/>
      <c r="L1341" s="60"/>
      <c r="M1341" s="60"/>
    </row>
    <row r="1342">
      <c r="A1342" s="129"/>
      <c r="B1342" s="130"/>
      <c r="C1342" s="60"/>
      <c r="D1342" s="60"/>
      <c r="E1342" s="60"/>
      <c r="F1342" s="130"/>
      <c r="G1342" s="60"/>
      <c r="H1342" s="130"/>
      <c r="I1342" s="60"/>
      <c r="J1342" s="60"/>
      <c r="K1342" s="60"/>
      <c r="L1342" s="60"/>
      <c r="M1342" s="60"/>
    </row>
    <row r="1343">
      <c r="A1343" s="129"/>
      <c r="B1343" s="130"/>
      <c r="C1343" s="60"/>
      <c r="D1343" s="60"/>
      <c r="E1343" s="60"/>
      <c r="F1343" s="130"/>
      <c r="G1343" s="60"/>
      <c r="H1343" s="130"/>
      <c r="I1343" s="60"/>
      <c r="J1343" s="60"/>
      <c r="K1343" s="60"/>
      <c r="L1343" s="60"/>
      <c r="M1343" s="60"/>
    </row>
    <row r="1344">
      <c r="A1344" s="129"/>
      <c r="B1344" s="130"/>
      <c r="C1344" s="60"/>
      <c r="D1344" s="60"/>
      <c r="E1344" s="60"/>
      <c r="F1344" s="130"/>
      <c r="G1344" s="60"/>
      <c r="H1344" s="130"/>
      <c r="I1344" s="60"/>
      <c r="J1344" s="60"/>
      <c r="K1344" s="60"/>
      <c r="L1344" s="60"/>
      <c r="M1344" s="60"/>
    </row>
    <row r="1345">
      <c r="A1345" s="129"/>
      <c r="B1345" s="130"/>
      <c r="C1345" s="60"/>
      <c r="D1345" s="60"/>
      <c r="E1345" s="60"/>
      <c r="F1345" s="130"/>
      <c r="G1345" s="60"/>
      <c r="H1345" s="130"/>
      <c r="I1345" s="60"/>
      <c r="J1345" s="60"/>
      <c r="K1345" s="60"/>
      <c r="L1345" s="60"/>
      <c r="M1345" s="60"/>
    </row>
    <row r="1346">
      <c r="A1346" s="129"/>
      <c r="B1346" s="130"/>
      <c r="C1346" s="60"/>
      <c r="D1346" s="60"/>
      <c r="E1346" s="60"/>
      <c r="F1346" s="130"/>
      <c r="G1346" s="60"/>
      <c r="H1346" s="130"/>
      <c r="I1346" s="60"/>
      <c r="J1346" s="60"/>
      <c r="K1346" s="60"/>
      <c r="L1346" s="60"/>
      <c r="M1346" s="60"/>
    </row>
    <row r="1347">
      <c r="A1347" s="129"/>
      <c r="B1347" s="130"/>
      <c r="C1347" s="60"/>
      <c r="D1347" s="60"/>
      <c r="E1347" s="60"/>
      <c r="F1347" s="130"/>
      <c r="G1347" s="60"/>
      <c r="H1347" s="130"/>
      <c r="I1347" s="60"/>
      <c r="J1347" s="60"/>
      <c r="K1347" s="60"/>
      <c r="L1347" s="60"/>
      <c r="M1347" s="60"/>
    </row>
    <row r="1348">
      <c r="A1348" s="129"/>
      <c r="B1348" s="130"/>
      <c r="C1348" s="60"/>
      <c r="D1348" s="60"/>
      <c r="E1348" s="60"/>
      <c r="F1348" s="130"/>
      <c r="G1348" s="60"/>
      <c r="H1348" s="130"/>
      <c r="I1348" s="60"/>
      <c r="J1348" s="60"/>
      <c r="K1348" s="60"/>
      <c r="L1348" s="60"/>
      <c r="M1348" s="60"/>
    </row>
    <row r="1349">
      <c r="A1349" s="129"/>
      <c r="B1349" s="130"/>
      <c r="C1349" s="60"/>
      <c r="D1349" s="60"/>
      <c r="E1349" s="60"/>
      <c r="F1349" s="130"/>
      <c r="G1349" s="60"/>
      <c r="H1349" s="130"/>
      <c r="I1349" s="60"/>
      <c r="J1349" s="60"/>
      <c r="K1349" s="60"/>
      <c r="L1349" s="60"/>
      <c r="M1349" s="60"/>
    </row>
    <row r="1350">
      <c r="A1350" s="129"/>
      <c r="B1350" s="130"/>
      <c r="C1350" s="60"/>
      <c r="D1350" s="60"/>
      <c r="E1350" s="60"/>
      <c r="F1350" s="130"/>
      <c r="G1350" s="60"/>
      <c r="H1350" s="130"/>
      <c r="I1350" s="60"/>
      <c r="J1350" s="60"/>
      <c r="K1350" s="60"/>
      <c r="L1350" s="60"/>
      <c r="M1350" s="60"/>
    </row>
    <row r="1351">
      <c r="A1351" s="129"/>
      <c r="B1351" s="130"/>
      <c r="C1351" s="60"/>
      <c r="D1351" s="60"/>
      <c r="E1351" s="60"/>
      <c r="F1351" s="130"/>
      <c r="G1351" s="60"/>
      <c r="H1351" s="130"/>
      <c r="I1351" s="60"/>
      <c r="J1351" s="60"/>
      <c r="K1351" s="60"/>
      <c r="L1351" s="60"/>
      <c r="M1351" s="60"/>
    </row>
    <row r="1352">
      <c r="A1352" s="129"/>
      <c r="B1352" s="130"/>
      <c r="C1352" s="60"/>
      <c r="D1352" s="60"/>
      <c r="E1352" s="60"/>
      <c r="F1352" s="130"/>
      <c r="G1352" s="60"/>
      <c r="H1352" s="130"/>
      <c r="I1352" s="60"/>
      <c r="J1352" s="60"/>
      <c r="K1352" s="60"/>
      <c r="L1352" s="60"/>
      <c r="M1352" s="60"/>
    </row>
    <row r="1353">
      <c r="A1353" s="129"/>
      <c r="B1353" s="130"/>
      <c r="C1353" s="60"/>
      <c r="D1353" s="60"/>
      <c r="E1353" s="60"/>
      <c r="F1353" s="130"/>
      <c r="G1353" s="60"/>
      <c r="H1353" s="130"/>
      <c r="I1353" s="60"/>
      <c r="J1353" s="60"/>
      <c r="K1353" s="60"/>
      <c r="L1353" s="60"/>
      <c r="M1353" s="60"/>
    </row>
    <row r="1354">
      <c r="A1354" s="129"/>
      <c r="B1354" s="130"/>
      <c r="C1354" s="60"/>
      <c r="D1354" s="60"/>
      <c r="E1354" s="60"/>
      <c r="F1354" s="130"/>
      <c r="G1354" s="60"/>
      <c r="H1354" s="130"/>
      <c r="I1354" s="60"/>
      <c r="J1354" s="60"/>
      <c r="K1354" s="60"/>
      <c r="L1354" s="60"/>
      <c r="M1354" s="60"/>
    </row>
    <row r="1355">
      <c r="A1355" s="129"/>
      <c r="B1355" s="130"/>
      <c r="C1355" s="60"/>
      <c r="D1355" s="60"/>
      <c r="E1355" s="60"/>
      <c r="F1355" s="130"/>
      <c r="G1355" s="60"/>
      <c r="H1355" s="130"/>
      <c r="I1355" s="60"/>
      <c r="J1355" s="60"/>
      <c r="K1355" s="60"/>
      <c r="L1355" s="60"/>
      <c r="M1355" s="60"/>
    </row>
    <row r="1356">
      <c r="A1356" s="129"/>
      <c r="B1356" s="130"/>
      <c r="C1356" s="60"/>
      <c r="D1356" s="60"/>
      <c r="E1356" s="60"/>
      <c r="F1356" s="130"/>
      <c r="G1356" s="60"/>
      <c r="H1356" s="130"/>
      <c r="I1356" s="60"/>
      <c r="J1356" s="60"/>
      <c r="K1356" s="60"/>
      <c r="L1356" s="60"/>
      <c r="M1356" s="60"/>
    </row>
    <row r="1357">
      <c r="A1357" s="129"/>
      <c r="B1357" s="130"/>
      <c r="C1357" s="60"/>
      <c r="D1357" s="60"/>
      <c r="E1357" s="60"/>
      <c r="F1357" s="130"/>
      <c r="G1357" s="60"/>
      <c r="H1357" s="130"/>
      <c r="I1357" s="60"/>
      <c r="J1357" s="60"/>
      <c r="K1357" s="60"/>
      <c r="L1357" s="60"/>
      <c r="M1357" s="60"/>
    </row>
    <row r="1358">
      <c r="A1358" s="129"/>
      <c r="B1358" s="130"/>
      <c r="C1358" s="60"/>
      <c r="D1358" s="60"/>
      <c r="E1358" s="60"/>
      <c r="F1358" s="130"/>
      <c r="G1358" s="60"/>
      <c r="H1358" s="130"/>
      <c r="I1358" s="60"/>
      <c r="J1358" s="60"/>
      <c r="K1358" s="60"/>
      <c r="L1358" s="60"/>
      <c r="M1358" s="60"/>
    </row>
    <row r="1359">
      <c r="A1359" s="129"/>
      <c r="B1359" s="130"/>
      <c r="C1359" s="60"/>
      <c r="D1359" s="60"/>
      <c r="E1359" s="60"/>
      <c r="F1359" s="130"/>
      <c r="G1359" s="60"/>
      <c r="H1359" s="130"/>
      <c r="I1359" s="60"/>
      <c r="J1359" s="60"/>
      <c r="K1359" s="60"/>
      <c r="L1359" s="60"/>
      <c r="M1359" s="60"/>
    </row>
    <row r="1360">
      <c r="A1360" s="129"/>
      <c r="B1360" s="130"/>
      <c r="C1360" s="60"/>
      <c r="D1360" s="60"/>
      <c r="E1360" s="60"/>
      <c r="F1360" s="130"/>
      <c r="G1360" s="60"/>
      <c r="H1360" s="130"/>
      <c r="I1360" s="60"/>
      <c r="J1360" s="60"/>
      <c r="K1360" s="60"/>
      <c r="L1360" s="60"/>
      <c r="M1360" s="60"/>
    </row>
    <row r="1361">
      <c r="A1361" s="129"/>
      <c r="B1361" s="130"/>
      <c r="C1361" s="60"/>
      <c r="D1361" s="60"/>
      <c r="E1361" s="60"/>
      <c r="F1361" s="130"/>
      <c r="G1361" s="60"/>
      <c r="H1361" s="130"/>
      <c r="I1361" s="60"/>
      <c r="J1361" s="60"/>
      <c r="K1361" s="60"/>
      <c r="L1361" s="60"/>
      <c r="M1361" s="60"/>
    </row>
    <row r="1362">
      <c r="A1362" s="129"/>
      <c r="B1362" s="130"/>
      <c r="C1362" s="60"/>
      <c r="D1362" s="60"/>
      <c r="E1362" s="60"/>
      <c r="F1362" s="130"/>
      <c r="G1362" s="60"/>
      <c r="H1362" s="130"/>
      <c r="I1362" s="60"/>
      <c r="J1362" s="60"/>
      <c r="K1362" s="60"/>
      <c r="L1362" s="60"/>
      <c r="M1362" s="60"/>
    </row>
    <row r="1363">
      <c r="A1363" s="129"/>
      <c r="B1363" s="130"/>
      <c r="C1363" s="60"/>
      <c r="D1363" s="60"/>
      <c r="E1363" s="60"/>
      <c r="F1363" s="130"/>
      <c r="G1363" s="60"/>
      <c r="H1363" s="130"/>
      <c r="I1363" s="60"/>
      <c r="J1363" s="60"/>
      <c r="K1363" s="60"/>
      <c r="L1363" s="60"/>
      <c r="M1363" s="60"/>
    </row>
    <row r="1364">
      <c r="A1364" s="129"/>
      <c r="B1364" s="130"/>
      <c r="C1364" s="60"/>
      <c r="D1364" s="60"/>
      <c r="E1364" s="60"/>
      <c r="F1364" s="130"/>
      <c r="G1364" s="60"/>
      <c r="H1364" s="130"/>
      <c r="I1364" s="60"/>
      <c r="J1364" s="60"/>
      <c r="K1364" s="60"/>
      <c r="L1364" s="60"/>
      <c r="M1364" s="60"/>
    </row>
    <row r="1365">
      <c r="A1365" s="129"/>
      <c r="B1365" s="130"/>
      <c r="C1365" s="60"/>
      <c r="D1365" s="60"/>
      <c r="E1365" s="60"/>
      <c r="F1365" s="130"/>
      <c r="G1365" s="60"/>
      <c r="H1365" s="130"/>
      <c r="I1365" s="60"/>
      <c r="J1365" s="60"/>
      <c r="K1365" s="60"/>
      <c r="L1365" s="60"/>
      <c r="M1365" s="60"/>
    </row>
    <row r="1366">
      <c r="A1366" s="129"/>
      <c r="B1366" s="130"/>
      <c r="C1366" s="60"/>
      <c r="D1366" s="60"/>
      <c r="E1366" s="60"/>
      <c r="F1366" s="130"/>
      <c r="G1366" s="60"/>
      <c r="H1366" s="130"/>
      <c r="I1366" s="60"/>
      <c r="J1366" s="60"/>
      <c r="K1366" s="60"/>
      <c r="L1366" s="60"/>
      <c r="M1366" s="60"/>
    </row>
    <row r="1367">
      <c r="A1367" s="129"/>
      <c r="B1367" s="130"/>
      <c r="C1367" s="60"/>
      <c r="D1367" s="60"/>
      <c r="E1367" s="60"/>
      <c r="F1367" s="130"/>
      <c r="G1367" s="60"/>
      <c r="H1367" s="130"/>
      <c r="I1367" s="60"/>
      <c r="J1367" s="60"/>
      <c r="K1367" s="60"/>
      <c r="L1367" s="60"/>
      <c r="M1367" s="60"/>
    </row>
    <row r="1368">
      <c r="A1368" s="129"/>
      <c r="B1368" s="130"/>
      <c r="C1368" s="60"/>
      <c r="D1368" s="60"/>
      <c r="E1368" s="60"/>
      <c r="F1368" s="130"/>
      <c r="G1368" s="60"/>
      <c r="H1368" s="130"/>
      <c r="I1368" s="60"/>
      <c r="J1368" s="60"/>
      <c r="K1368" s="60"/>
      <c r="L1368" s="60"/>
      <c r="M1368" s="60"/>
    </row>
    <row r="1369">
      <c r="A1369" s="129"/>
      <c r="B1369" s="130"/>
      <c r="C1369" s="60"/>
      <c r="D1369" s="60"/>
      <c r="E1369" s="60"/>
      <c r="F1369" s="130"/>
      <c r="G1369" s="60"/>
      <c r="H1369" s="130"/>
      <c r="I1369" s="60"/>
      <c r="J1369" s="60"/>
      <c r="K1369" s="60"/>
      <c r="L1369" s="60"/>
      <c r="M1369" s="60"/>
    </row>
    <row r="1370">
      <c r="A1370" s="129"/>
      <c r="B1370" s="130"/>
      <c r="C1370" s="60"/>
      <c r="D1370" s="60"/>
      <c r="E1370" s="60"/>
      <c r="F1370" s="130"/>
      <c r="G1370" s="60"/>
      <c r="H1370" s="130"/>
      <c r="I1370" s="60"/>
      <c r="J1370" s="60"/>
      <c r="K1370" s="60"/>
      <c r="L1370" s="60"/>
      <c r="M1370" s="60"/>
    </row>
    <row r="1371">
      <c r="A1371" s="129"/>
      <c r="B1371" s="130"/>
      <c r="C1371" s="60"/>
      <c r="D1371" s="60"/>
      <c r="E1371" s="60"/>
      <c r="F1371" s="130"/>
      <c r="G1371" s="60"/>
      <c r="H1371" s="130"/>
      <c r="I1371" s="60"/>
      <c r="J1371" s="60"/>
      <c r="K1371" s="60"/>
      <c r="L1371" s="60"/>
      <c r="M1371" s="60"/>
    </row>
    <row r="1372">
      <c r="A1372" s="129"/>
      <c r="B1372" s="130"/>
      <c r="C1372" s="60"/>
      <c r="D1372" s="60"/>
      <c r="E1372" s="60"/>
      <c r="F1372" s="130"/>
      <c r="G1372" s="60"/>
      <c r="H1372" s="130"/>
      <c r="I1372" s="60"/>
      <c r="J1372" s="60"/>
      <c r="K1372" s="60"/>
      <c r="L1372" s="60"/>
      <c r="M1372" s="60"/>
    </row>
    <row r="1373">
      <c r="A1373" s="129"/>
      <c r="B1373" s="130"/>
      <c r="C1373" s="60"/>
      <c r="D1373" s="60"/>
      <c r="E1373" s="60"/>
      <c r="F1373" s="130"/>
      <c r="G1373" s="60"/>
      <c r="H1373" s="130"/>
      <c r="I1373" s="60"/>
      <c r="J1373" s="60"/>
      <c r="K1373" s="60"/>
      <c r="L1373" s="60"/>
      <c r="M1373" s="60"/>
    </row>
    <row r="1374">
      <c r="A1374" s="129"/>
      <c r="B1374" s="130"/>
      <c r="C1374" s="60"/>
      <c r="D1374" s="60"/>
      <c r="E1374" s="60"/>
      <c r="F1374" s="130"/>
      <c r="G1374" s="60"/>
      <c r="H1374" s="130"/>
      <c r="I1374" s="60"/>
      <c r="J1374" s="60"/>
      <c r="K1374" s="60"/>
      <c r="L1374" s="60"/>
      <c r="M1374" s="60"/>
    </row>
    <row r="1375">
      <c r="A1375" s="129"/>
      <c r="B1375" s="130"/>
      <c r="C1375" s="60"/>
      <c r="D1375" s="60"/>
      <c r="E1375" s="60"/>
      <c r="F1375" s="130"/>
      <c r="G1375" s="60"/>
      <c r="H1375" s="130"/>
      <c r="I1375" s="60"/>
      <c r="J1375" s="60"/>
      <c r="K1375" s="60"/>
      <c r="L1375" s="60"/>
      <c r="M1375" s="60"/>
    </row>
    <row r="1376">
      <c r="A1376" s="129"/>
      <c r="B1376" s="130"/>
      <c r="C1376" s="60"/>
      <c r="D1376" s="60"/>
      <c r="E1376" s="60"/>
      <c r="F1376" s="130"/>
      <c r="G1376" s="60"/>
      <c r="H1376" s="130"/>
      <c r="I1376" s="60"/>
      <c r="J1376" s="60"/>
      <c r="K1376" s="60"/>
      <c r="L1376" s="60"/>
      <c r="M1376" s="60"/>
    </row>
    <row r="1377">
      <c r="A1377" s="129"/>
      <c r="B1377" s="130"/>
      <c r="C1377" s="60"/>
      <c r="D1377" s="60"/>
      <c r="E1377" s="60"/>
      <c r="F1377" s="130"/>
      <c r="G1377" s="60"/>
      <c r="H1377" s="130"/>
      <c r="I1377" s="60"/>
      <c r="J1377" s="60"/>
      <c r="K1377" s="60"/>
      <c r="L1377" s="60"/>
      <c r="M1377" s="60"/>
    </row>
    <row r="1378">
      <c r="A1378" s="129"/>
      <c r="B1378" s="130"/>
      <c r="C1378" s="60"/>
      <c r="D1378" s="60"/>
      <c r="E1378" s="60"/>
      <c r="F1378" s="130"/>
      <c r="G1378" s="60"/>
      <c r="H1378" s="130"/>
      <c r="I1378" s="60"/>
      <c r="J1378" s="60"/>
      <c r="K1378" s="60"/>
      <c r="L1378" s="60"/>
      <c r="M1378" s="60"/>
    </row>
    <row r="1379">
      <c r="A1379" s="129"/>
      <c r="B1379" s="130"/>
      <c r="C1379" s="60"/>
      <c r="D1379" s="60"/>
      <c r="E1379" s="60"/>
      <c r="F1379" s="130"/>
      <c r="G1379" s="60"/>
      <c r="H1379" s="130"/>
      <c r="I1379" s="60"/>
      <c r="J1379" s="60"/>
      <c r="K1379" s="60"/>
      <c r="L1379" s="60"/>
      <c r="M1379" s="60"/>
    </row>
    <row r="1380">
      <c r="A1380" s="129"/>
      <c r="B1380" s="130"/>
      <c r="C1380" s="60"/>
      <c r="D1380" s="60"/>
      <c r="E1380" s="60"/>
      <c r="F1380" s="130"/>
      <c r="G1380" s="60"/>
      <c r="H1380" s="130"/>
      <c r="I1380" s="60"/>
      <c r="J1380" s="60"/>
      <c r="K1380" s="60"/>
      <c r="L1380" s="60"/>
      <c r="M1380" s="60"/>
    </row>
    <row r="1381">
      <c r="A1381" s="129"/>
      <c r="B1381" s="130"/>
      <c r="C1381" s="60"/>
      <c r="D1381" s="60"/>
      <c r="E1381" s="60"/>
      <c r="F1381" s="130"/>
      <c r="G1381" s="60"/>
      <c r="H1381" s="130"/>
      <c r="I1381" s="60"/>
      <c r="J1381" s="60"/>
      <c r="K1381" s="60"/>
      <c r="L1381" s="60"/>
      <c r="M1381" s="60"/>
    </row>
    <row r="1382">
      <c r="A1382" s="129"/>
      <c r="B1382" s="130"/>
      <c r="C1382" s="60"/>
      <c r="D1382" s="60"/>
      <c r="E1382" s="60"/>
      <c r="F1382" s="130"/>
      <c r="G1382" s="60"/>
      <c r="H1382" s="130"/>
      <c r="I1382" s="60"/>
      <c r="J1382" s="60"/>
      <c r="K1382" s="60"/>
      <c r="L1382" s="60"/>
      <c r="M1382" s="60"/>
    </row>
    <row r="1383">
      <c r="A1383" s="129"/>
      <c r="B1383" s="130"/>
      <c r="C1383" s="60"/>
      <c r="D1383" s="60"/>
      <c r="E1383" s="60"/>
      <c r="F1383" s="130"/>
      <c r="G1383" s="60"/>
      <c r="H1383" s="130"/>
      <c r="I1383" s="60"/>
      <c r="J1383" s="60"/>
      <c r="K1383" s="60"/>
      <c r="L1383" s="60"/>
      <c r="M1383" s="60"/>
    </row>
    <row r="1384">
      <c r="A1384" s="129"/>
      <c r="B1384" s="130"/>
      <c r="C1384" s="60"/>
      <c r="D1384" s="60"/>
      <c r="E1384" s="60"/>
      <c r="F1384" s="130"/>
      <c r="G1384" s="60"/>
      <c r="H1384" s="130"/>
      <c r="I1384" s="60"/>
      <c r="J1384" s="60"/>
      <c r="K1384" s="60"/>
      <c r="L1384" s="60"/>
      <c r="M1384" s="60"/>
    </row>
    <row r="1385">
      <c r="A1385" s="129"/>
      <c r="B1385" s="130"/>
      <c r="C1385" s="60"/>
      <c r="D1385" s="60"/>
      <c r="E1385" s="60"/>
      <c r="F1385" s="130"/>
      <c r="G1385" s="60"/>
      <c r="H1385" s="130"/>
      <c r="I1385" s="60"/>
      <c r="J1385" s="60"/>
      <c r="K1385" s="60"/>
      <c r="L1385" s="60"/>
      <c r="M1385" s="60"/>
    </row>
    <row r="1386">
      <c r="A1386" s="129"/>
      <c r="B1386" s="130"/>
      <c r="C1386" s="60"/>
      <c r="D1386" s="60"/>
      <c r="E1386" s="60"/>
      <c r="F1386" s="130"/>
      <c r="G1386" s="60"/>
      <c r="H1386" s="130"/>
      <c r="I1386" s="60"/>
      <c r="J1386" s="60"/>
      <c r="K1386" s="60"/>
      <c r="L1386" s="60"/>
      <c r="M1386" s="60"/>
    </row>
    <row r="1387">
      <c r="A1387" s="129"/>
      <c r="B1387" s="130"/>
      <c r="C1387" s="60"/>
      <c r="D1387" s="60"/>
      <c r="E1387" s="60"/>
      <c r="F1387" s="130"/>
      <c r="G1387" s="60"/>
      <c r="H1387" s="130"/>
      <c r="I1387" s="60"/>
      <c r="J1387" s="60"/>
      <c r="K1387" s="60"/>
      <c r="L1387" s="60"/>
      <c r="M1387" s="60"/>
    </row>
    <row r="1388">
      <c r="A1388" s="129"/>
      <c r="B1388" s="130"/>
      <c r="C1388" s="60"/>
      <c r="D1388" s="60"/>
      <c r="E1388" s="60"/>
      <c r="F1388" s="130"/>
      <c r="G1388" s="60"/>
      <c r="H1388" s="130"/>
      <c r="I1388" s="60"/>
      <c r="J1388" s="60"/>
      <c r="K1388" s="60"/>
      <c r="L1388" s="60"/>
      <c r="M1388" s="60"/>
    </row>
    <row r="1389">
      <c r="A1389" s="129"/>
      <c r="B1389" s="130"/>
      <c r="C1389" s="60"/>
      <c r="D1389" s="60"/>
      <c r="E1389" s="60"/>
      <c r="F1389" s="130"/>
      <c r="G1389" s="60"/>
      <c r="H1389" s="130"/>
      <c r="I1389" s="60"/>
      <c r="J1389" s="60"/>
      <c r="K1389" s="60"/>
      <c r="L1389" s="60"/>
      <c r="M1389" s="60"/>
    </row>
    <row r="1390">
      <c r="A1390" s="129"/>
      <c r="B1390" s="130"/>
      <c r="C1390" s="60"/>
      <c r="D1390" s="60"/>
      <c r="E1390" s="60"/>
      <c r="F1390" s="130"/>
      <c r="G1390" s="60"/>
      <c r="H1390" s="130"/>
      <c r="I1390" s="60"/>
      <c r="J1390" s="60"/>
      <c r="K1390" s="60"/>
      <c r="L1390" s="60"/>
      <c r="M1390" s="60"/>
    </row>
    <row r="1391">
      <c r="A1391" s="129"/>
      <c r="B1391" s="130"/>
      <c r="C1391" s="60"/>
      <c r="D1391" s="60"/>
      <c r="E1391" s="60"/>
      <c r="F1391" s="130"/>
      <c r="G1391" s="60"/>
      <c r="H1391" s="130"/>
      <c r="I1391" s="60"/>
      <c r="J1391" s="60"/>
      <c r="K1391" s="60"/>
      <c r="L1391" s="60"/>
      <c r="M1391" s="60"/>
    </row>
    <row r="1392">
      <c r="A1392" s="129"/>
      <c r="B1392" s="130"/>
      <c r="C1392" s="60"/>
      <c r="D1392" s="60"/>
      <c r="E1392" s="60"/>
      <c r="F1392" s="130"/>
      <c r="G1392" s="60"/>
      <c r="H1392" s="130"/>
      <c r="I1392" s="60"/>
      <c r="J1392" s="60"/>
      <c r="K1392" s="60"/>
      <c r="L1392" s="60"/>
      <c r="M1392" s="60"/>
    </row>
    <row r="1393">
      <c r="A1393" s="129"/>
      <c r="B1393" s="130"/>
      <c r="C1393" s="60"/>
      <c r="D1393" s="60"/>
      <c r="E1393" s="60"/>
      <c r="F1393" s="130"/>
      <c r="G1393" s="60"/>
      <c r="H1393" s="130"/>
      <c r="I1393" s="60"/>
      <c r="J1393" s="60"/>
      <c r="K1393" s="60"/>
      <c r="L1393" s="60"/>
      <c r="M1393" s="60"/>
    </row>
    <row r="1394">
      <c r="A1394" s="129"/>
      <c r="B1394" s="130"/>
      <c r="C1394" s="60"/>
      <c r="D1394" s="60"/>
      <c r="E1394" s="60"/>
      <c r="F1394" s="130"/>
      <c r="G1394" s="60"/>
      <c r="H1394" s="130"/>
      <c r="I1394" s="60"/>
      <c r="J1394" s="60"/>
      <c r="K1394" s="60"/>
      <c r="L1394" s="60"/>
      <c r="M1394" s="60"/>
    </row>
    <row r="1395">
      <c r="A1395" s="129"/>
      <c r="B1395" s="130"/>
      <c r="C1395" s="60"/>
      <c r="D1395" s="60"/>
      <c r="E1395" s="60"/>
      <c r="F1395" s="130"/>
      <c r="G1395" s="60"/>
      <c r="H1395" s="130"/>
      <c r="I1395" s="60"/>
      <c r="J1395" s="60"/>
      <c r="K1395" s="60"/>
      <c r="L1395" s="60"/>
      <c r="M1395" s="60"/>
    </row>
    <row r="1396">
      <c r="A1396" s="129"/>
      <c r="B1396" s="130"/>
      <c r="C1396" s="60"/>
      <c r="D1396" s="60"/>
      <c r="E1396" s="60"/>
      <c r="F1396" s="130"/>
      <c r="G1396" s="60"/>
      <c r="H1396" s="130"/>
      <c r="I1396" s="60"/>
      <c r="J1396" s="60"/>
      <c r="K1396" s="60"/>
      <c r="L1396" s="60"/>
      <c r="M1396" s="60"/>
    </row>
    <row r="1397">
      <c r="A1397" s="129"/>
      <c r="B1397" s="130"/>
      <c r="C1397" s="60"/>
      <c r="D1397" s="60"/>
      <c r="E1397" s="60"/>
      <c r="F1397" s="130"/>
      <c r="G1397" s="60"/>
      <c r="H1397" s="130"/>
      <c r="I1397" s="60"/>
      <c r="J1397" s="60"/>
      <c r="K1397" s="60"/>
      <c r="L1397" s="60"/>
      <c r="M1397" s="60"/>
    </row>
    <row r="1398">
      <c r="A1398" s="129"/>
      <c r="B1398" s="130"/>
      <c r="C1398" s="60"/>
      <c r="D1398" s="60"/>
      <c r="E1398" s="60"/>
      <c r="F1398" s="130"/>
      <c r="G1398" s="60"/>
      <c r="H1398" s="130"/>
      <c r="I1398" s="60"/>
      <c r="J1398" s="60"/>
      <c r="K1398" s="60"/>
      <c r="L1398" s="60"/>
      <c r="M1398" s="60"/>
    </row>
    <row r="1399">
      <c r="A1399" s="129"/>
      <c r="B1399" s="130"/>
      <c r="C1399" s="60"/>
      <c r="D1399" s="60"/>
      <c r="E1399" s="60"/>
      <c r="F1399" s="130"/>
      <c r="G1399" s="60"/>
      <c r="H1399" s="130"/>
      <c r="I1399" s="60"/>
      <c r="J1399" s="60"/>
      <c r="K1399" s="60"/>
      <c r="L1399" s="60"/>
      <c r="M1399" s="60"/>
    </row>
    <row r="1400">
      <c r="A1400" s="129"/>
      <c r="B1400" s="130"/>
      <c r="C1400" s="60"/>
      <c r="D1400" s="60"/>
      <c r="E1400" s="60"/>
      <c r="F1400" s="130"/>
      <c r="G1400" s="60"/>
      <c r="H1400" s="130"/>
      <c r="I1400" s="60"/>
      <c r="J1400" s="60"/>
      <c r="K1400" s="60"/>
      <c r="L1400" s="60"/>
      <c r="M1400" s="60"/>
    </row>
    <row r="1401">
      <c r="A1401" s="129"/>
      <c r="B1401" s="130"/>
      <c r="C1401" s="60"/>
      <c r="D1401" s="60"/>
      <c r="E1401" s="60"/>
      <c r="F1401" s="130"/>
      <c r="G1401" s="60"/>
      <c r="H1401" s="130"/>
      <c r="I1401" s="60"/>
      <c r="J1401" s="60"/>
      <c r="K1401" s="60"/>
      <c r="L1401" s="60"/>
      <c r="M1401" s="60"/>
    </row>
    <row r="1402">
      <c r="A1402" s="129"/>
      <c r="B1402" s="130"/>
      <c r="C1402" s="60"/>
      <c r="D1402" s="60"/>
      <c r="E1402" s="60"/>
      <c r="F1402" s="130"/>
      <c r="G1402" s="60"/>
      <c r="H1402" s="130"/>
      <c r="I1402" s="60"/>
      <c r="J1402" s="60"/>
      <c r="K1402" s="60"/>
      <c r="L1402" s="60"/>
      <c r="M1402" s="60"/>
    </row>
    <row r="1403">
      <c r="A1403" s="129"/>
      <c r="B1403" s="130"/>
      <c r="C1403" s="60"/>
      <c r="D1403" s="60"/>
      <c r="E1403" s="60"/>
      <c r="F1403" s="130"/>
      <c r="G1403" s="60"/>
      <c r="H1403" s="130"/>
      <c r="I1403" s="60"/>
      <c r="J1403" s="60"/>
      <c r="K1403" s="60"/>
      <c r="L1403" s="60"/>
      <c r="M1403" s="60"/>
    </row>
    <row r="1404">
      <c r="A1404" s="129"/>
      <c r="B1404" s="130"/>
      <c r="C1404" s="60"/>
      <c r="D1404" s="60"/>
      <c r="E1404" s="60"/>
      <c r="F1404" s="130"/>
      <c r="G1404" s="60"/>
      <c r="H1404" s="130"/>
      <c r="I1404" s="60"/>
      <c r="J1404" s="60"/>
      <c r="K1404" s="60"/>
      <c r="L1404" s="60"/>
      <c r="M1404" s="60"/>
    </row>
    <row r="1405">
      <c r="A1405" s="129"/>
      <c r="B1405" s="130"/>
      <c r="C1405" s="60"/>
      <c r="D1405" s="60"/>
      <c r="E1405" s="60"/>
      <c r="F1405" s="130"/>
      <c r="G1405" s="60"/>
      <c r="H1405" s="130"/>
      <c r="I1405" s="60"/>
      <c r="J1405" s="60"/>
      <c r="K1405" s="60"/>
      <c r="L1405" s="60"/>
      <c r="M1405" s="60"/>
    </row>
    <row r="1406">
      <c r="A1406" s="129"/>
      <c r="B1406" s="130"/>
      <c r="C1406" s="60"/>
      <c r="D1406" s="60"/>
      <c r="E1406" s="60"/>
      <c r="F1406" s="130"/>
      <c r="G1406" s="60"/>
      <c r="H1406" s="130"/>
      <c r="I1406" s="60"/>
      <c r="J1406" s="60"/>
      <c r="K1406" s="60"/>
      <c r="L1406" s="60"/>
      <c r="M1406" s="60"/>
    </row>
    <row r="1407">
      <c r="A1407" s="129"/>
      <c r="B1407" s="130"/>
      <c r="C1407" s="60"/>
      <c r="D1407" s="60"/>
      <c r="E1407" s="60"/>
      <c r="F1407" s="130"/>
      <c r="G1407" s="60"/>
      <c r="H1407" s="130"/>
      <c r="I1407" s="60"/>
      <c r="J1407" s="60"/>
      <c r="K1407" s="60"/>
      <c r="L1407" s="60"/>
      <c r="M1407" s="60"/>
    </row>
    <row r="1408">
      <c r="A1408" s="129"/>
      <c r="B1408" s="130"/>
      <c r="C1408" s="60"/>
      <c r="D1408" s="60"/>
      <c r="E1408" s="60"/>
      <c r="F1408" s="130"/>
      <c r="G1408" s="60"/>
      <c r="H1408" s="130"/>
      <c r="I1408" s="60"/>
      <c r="J1408" s="60"/>
      <c r="K1408" s="60"/>
      <c r="L1408" s="60"/>
      <c r="M1408" s="60"/>
    </row>
    <row r="1409">
      <c r="A1409" s="129"/>
      <c r="B1409" s="130"/>
      <c r="C1409" s="60"/>
      <c r="D1409" s="60"/>
      <c r="E1409" s="60"/>
      <c r="F1409" s="130"/>
      <c r="G1409" s="60"/>
      <c r="H1409" s="130"/>
      <c r="I1409" s="60"/>
      <c r="J1409" s="60"/>
      <c r="K1409" s="60"/>
      <c r="L1409" s="60"/>
      <c r="M1409" s="60"/>
    </row>
    <row r="1410">
      <c r="A1410" s="129"/>
      <c r="B1410" s="130"/>
      <c r="C1410" s="60"/>
      <c r="D1410" s="60"/>
      <c r="E1410" s="60"/>
      <c r="F1410" s="130"/>
      <c r="G1410" s="60"/>
      <c r="H1410" s="130"/>
      <c r="I1410" s="60"/>
      <c r="J1410" s="60"/>
      <c r="K1410" s="60"/>
      <c r="L1410" s="60"/>
      <c r="M1410" s="60"/>
    </row>
    <row r="1411">
      <c r="A1411" s="129"/>
      <c r="B1411" s="130"/>
      <c r="C1411" s="60"/>
      <c r="D1411" s="60"/>
      <c r="E1411" s="60"/>
      <c r="F1411" s="130"/>
      <c r="G1411" s="60"/>
      <c r="H1411" s="130"/>
      <c r="I1411" s="60"/>
      <c r="J1411" s="60"/>
      <c r="K1411" s="60"/>
      <c r="L1411" s="60"/>
      <c r="M1411" s="60"/>
    </row>
    <row r="1412">
      <c r="A1412" s="129"/>
      <c r="B1412" s="130"/>
      <c r="C1412" s="60"/>
      <c r="D1412" s="60"/>
      <c r="E1412" s="60"/>
      <c r="F1412" s="130"/>
      <c r="G1412" s="60"/>
      <c r="H1412" s="130"/>
      <c r="I1412" s="60"/>
      <c r="J1412" s="60"/>
      <c r="K1412" s="60"/>
      <c r="L1412" s="60"/>
      <c r="M1412" s="60"/>
    </row>
    <row r="1413">
      <c r="A1413" s="129"/>
      <c r="B1413" s="130"/>
      <c r="C1413" s="60"/>
      <c r="D1413" s="60"/>
      <c r="E1413" s="60"/>
      <c r="F1413" s="130"/>
      <c r="G1413" s="60"/>
      <c r="H1413" s="130"/>
      <c r="I1413" s="60"/>
      <c r="J1413" s="60"/>
      <c r="K1413" s="60"/>
      <c r="L1413" s="60"/>
      <c r="M1413" s="60"/>
    </row>
    <row r="1414">
      <c r="A1414" s="129"/>
      <c r="B1414" s="130"/>
      <c r="C1414" s="60"/>
      <c r="D1414" s="60"/>
      <c r="E1414" s="60"/>
      <c r="F1414" s="130"/>
      <c r="G1414" s="60"/>
      <c r="H1414" s="130"/>
      <c r="I1414" s="60"/>
      <c r="J1414" s="60"/>
      <c r="K1414" s="60"/>
      <c r="L1414" s="60"/>
      <c r="M1414" s="60"/>
    </row>
    <row r="1415">
      <c r="A1415" s="129"/>
      <c r="B1415" s="130"/>
      <c r="C1415" s="60"/>
      <c r="D1415" s="60"/>
      <c r="E1415" s="60"/>
      <c r="F1415" s="130"/>
      <c r="G1415" s="60"/>
      <c r="H1415" s="130"/>
      <c r="I1415" s="60"/>
      <c r="J1415" s="60"/>
      <c r="K1415" s="60"/>
      <c r="L1415" s="60"/>
      <c r="M1415" s="60"/>
    </row>
    <row r="1416">
      <c r="A1416" s="129"/>
      <c r="B1416" s="130"/>
      <c r="C1416" s="60"/>
      <c r="D1416" s="60"/>
      <c r="E1416" s="60"/>
      <c r="F1416" s="130"/>
      <c r="G1416" s="60"/>
      <c r="H1416" s="130"/>
      <c r="I1416" s="60"/>
      <c r="J1416" s="60"/>
      <c r="K1416" s="60"/>
      <c r="L1416" s="60"/>
      <c r="M1416" s="60"/>
    </row>
    <row r="1417">
      <c r="A1417" s="129"/>
      <c r="B1417" s="130"/>
      <c r="C1417" s="60"/>
      <c r="D1417" s="60"/>
      <c r="E1417" s="60"/>
      <c r="F1417" s="130"/>
      <c r="G1417" s="60"/>
      <c r="H1417" s="130"/>
      <c r="I1417" s="60"/>
      <c r="J1417" s="60"/>
      <c r="K1417" s="60"/>
      <c r="L1417" s="60"/>
      <c r="M1417" s="60"/>
    </row>
    <row r="1418">
      <c r="A1418" s="129"/>
      <c r="B1418" s="130"/>
      <c r="C1418" s="60"/>
      <c r="D1418" s="60"/>
      <c r="E1418" s="60"/>
      <c r="F1418" s="130"/>
      <c r="G1418" s="60"/>
      <c r="H1418" s="130"/>
      <c r="I1418" s="60"/>
      <c r="J1418" s="60"/>
      <c r="K1418" s="60"/>
      <c r="L1418" s="60"/>
      <c r="M1418" s="60"/>
    </row>
    <row r="1419">
      <c r="A1419" s="129"/>
      <c r="B1419" s="130"/>
      <c r="C1419" s="60"/>
      <c r="D1419" s="60"/>
      <c r="E1419" s="60"/>
      <c r="F1419" s="130"/>
      <c r="G1419" s="60"/>
      <c r="H1419" s="130"/>
      <c r="I1419" s="60"/>
      <c r="J1419" s="60"/>
      <c r="K1419" s="60"/>
      <c r="L1419" s="60"/>
      <c r="M1419" s="60"/>
    </row>
    <row r="1420">
      <c r="A1420" s="129"/>
      <c r="B1420" s="130"/>
      <c r="C1420" s="60"/>
      <c r="D1420" s="60"/>
      <c r="E1420" s="60"/>
      <c r="F1420" s="130"/>
      <c r="G1420" s="60"/>
      <c r="H1420" s="130"/>
      <c r="I1420" s="60"/>
      <c r="J1420" s="60"/>
      <c r="K1420" s="60"/>
      <c r="L1420" s="60"/>
      <c r="M1420" s="60"/>
    </row>
    <row r="1421">
      <c r="A1421" s="129"/>
      <c r="B1421" s="130"/>
      <c r="C1421" s="60"/>
      <c r="D1421" s="60"/>
      <c r="E1421" s="60"/>
      <c r="F1421" s="130"/>
      <c r="G1421" s="60"/>
      <c r="H1421" s="130"/>
      <c r="I1421" s="60"/>
      <c r="J1421" s="60"/>
      <c r="K1421" s="60"/>
      <c r="L1421" s="60"/>
      <c r="M1421" s="60"/>
    </row>
    <row r="1422">
      <c r="A1422" s="129"/>
      <c r="B1422" s="130"/>
      <c r="C1422" s="60"/>
      <c r="D1422" s="60"/>
      <c r="E1422" s="60"/>
      <c r="F1422" s="130"/>
      <c r="G1422" s="60"/>
      <c r="H1422" s="130"/>
      <c r="I1422" s="60"/>
      <c r="J1422" s="60"/>
      <c r="K1422" s="60"/>
      <c r="L1422" s="60"/>
      <c r="M1422" s="60"/>
    </row>
    <row r="1423">
      <c r="A1423" s="129"/>
      <c r="B1423" s="130"/>
      <c r="C1423" s="60"/>
      <c r="D1423" s="60"/>
      <c r="E1423" s="60"/>
      <c r="F1423" s="130"/>
      <c r="G1423" s="60"/>
      <c r="H1423" s="130"/>
      <c r="I1423" s="60"/>
      <c r="J1423" s="60"/>
      <c r="K1423" s="60"/>
      <c r="L1423" s="60"/>
      <c r="M1423" s="60"/>
    </row>
    <row r="1424">
      <c r="A1424" s="129"/>
      <c r="B1424" s="130"/>
      <c r="C1424" s="60"/>
      <c r="D1424" s="60"/>
      <c r="E1424" s="60"/>
      <c r="F1424" s="130"/>
      <c r="G1424" s="60"/>
      <c r="H1424" s="130"/>
      <c r="I1424" s="60"/>
      <c r="J1424" s="60"/>
      <c r="K1424" s="60"/>
      <c r="L1424" s="60"/>
      <c r="M1424" s="60"/>
    </row>
    <row r="1425">
      <c r="A1425" s="129"/>
      <c r="B1425" s="130"/>
      <c r="C1425" s="60"/>
      <c r="D1425" s="60"/>
      <c r="E1425" s="60"/>
      <c r="F1425" s="130"/>
      <c r="G1425" s="60"/>
      <c r="H1425" s="130"/>
      <c r="I1425" s="60"/>
      <c r="J1425" s="60"/>
      <c r="K1425" s="60"/>
      <c r="L1425" s="60"/>
      <c r="M1425" s="60"/>
    </row>
    <row r="1426">
      <c r="A1426" s="129"/>
      <c r="B1426" s="130"/>
      <c r="C1426" s="60"/>
      <c r="D1426" s="60"/>
      <c r="E1426" s="60"/>
      <c r="F1426" s="130"/>
      <c r="G1426" s="60"/>
      <c r="H1426" s="130"/>
      <c r="I1426" s="60"/>
      <c r="J1426" s="60"/>
      <c r="K1426" s="60"/>
      <c r="L1426" s="60"/>
      <c r="M1426" s="60"/>
    </row>
    <row r="1427">
      <c r="A1427" s="129"/>
      <c r="B1427" s="130"/>
      <c r="C1427" s="60"/>
      <c r="D1427" s="60"/>
      <c r="E1427" s="60"/>
      <c r="F1427" s="130"/>
      <c r="G1427" s="60"/>
      <c r="H1427" s="130"/>
      <c r="I1427" s="60"/>
      <c r="J1427" s="60"/>
      <c r="K1427" s="60"/>
      <c r="L1427" s="60"/>
      <c r="M1427" s="60"/>
    </row>
    <row r="1428">
      <c r="A1428" s="129"/>
      <c r="B1428" s="130"/>
      <c r="C1428" s="60"/>
      <c r="D1428" s="60"/>
      <c r="E1428" s="60"/>
      <c r="F1428" s="130"/>
      <c r="G1428" s="60"/>
      <c r="H1428" s="130"/>
      <c r="I1428" s="60"/>
      <c r="J1428" s="60"/>
      <c r="K1428" s="60"/>
      <c r="L1428" s="60"/>
      <c r="M1428" s="60"/>
    </row>
    <row r="1429">
      <c r="A1429" s="129"/>
      <c r="B1429" s="130"/>
      <c r="C1429" s="60"/>
      <c r="D1429" s="60"/>
      <c r="E1429" s="60"/>
      <c r="F1429" s="130"/>
      <c r="G1429" s="60"/>
      <c r="H1429" s="130"/>
      <c r="I1429" s="60"/>
      <c r="J1429" s="60"/>
      <c r="K1429" s="60"/>
      <c r="L1429" s="60"/>
      <c r="M1429" s="60"/>
    </row>
    <row r="1430">
      <c r="A1430" s="129"/>
      <c r="B1430" s="130"/>
      <c r="C1430" s="60"/>
      <c r="D1430" s="60"/>
      <c r="E1430" s="60"/>
      <c r="F1430" s="130"/>
      <c r="G1430" s="60"/>
      <c r="H1430" s="130"/>
      <c r="I1430" s="60"/>
      <c r="J1430" s="60"/>
      <c r="K1430" s="60"/>
      <c r="L1430" s="60"/>
      <c r="M1430" s="60"/>
    </row>
    <row r="1431">
      <c r="A1431" s="129"/>
      <c r="B1431" s="130"/>
      <c r="C1431" s="60"/>
      <c r="D1431" s="60"/>
      <c r="E1431" s="60"/>
      <c r="F1431" s="130"/>
      <c r="G1431" s="60"/>
      <c r="H1431" s="130"/>
      <c r="I1431" s="60"/>
      <c r="J1431" s="60"/>
      <c r="K1431" s="60"/>
      <c r="L1431" s="60"/>
      <c r="M1431" s="60"/>
    </row>
    <row r="1432">
      <c r="A1432" s="129"/>
      <c r="B1432" s="130"/>
      <c r="C1432" s="60"/>
      <c r="D1432" s="60"/>
      <c r="E1432" s="60"/>
      <c r="F1432" s="130"/>
      <c r="G1432" s="60"/>
      <c r="H1432" s="130"/>
      <c r="I1432" s="60"/>
      <c r="J1432" s="60"/>
      <c r="K1432" s="60"/>
      <c r="L1432" s="60"/>
      <c r="M1432" s="60"/>
    </row>
    <row r="1433">
      <c r="A1433" s="129"/>
      <c r="B1433" s="130"/>
      <c r="C1433" s="60"/>
      <c r="D1433" s="60"/>
      <c r="E1433" s="60"/>
      <c r="F1433" s="130"/>
      <c r="G1433" s="60"/>
      <c r="H1433" s="130"/>
      <c r="I1433" s="60"/>
      <c r="J1433" s="60"/>
      <c r="K1433" s="60"/>
      <c r="L1433" s="60"/>
      <c r="M1433" s="60"/>
    </row>
    <row r="1434">
      <c r="A1434" s="129"/>
      <c r="B1434" s="130"/>
      <c r="C1434" s="60"/>
      <c r="D1434" s="60"/>
      <c r="E1434" s="60"/>
      <c r="F1434" s="130"/>
      <c r="G1434" s="60"/>
      <c r="H1434" s="130"/>
      <c r="I1434" s="60"/>
      <c r="J1434" s="60"/>
      <c r="K1434" s="60"/>
      <c r="L1434" s="60"/>
      <c r="M1434" s="60"/>
    </row>
    <row r="1435">
      <c r="A1435" s="129"/>
      <c r="B1435" s="130"/>
      <c r="C1435" s="60"/>
      <c r="D1435" s="60"/>
      <c r="E1435" s="60"/>
      <c r="F1435" s="130"/>
      <c r="G1435" s="60"/>
      <c r="H1435" s="130"/>
      <c r="I1435" s="60"/>
      <c r="J1435" s="60"/>
      <c r="K1435" s="60"/>
      <c r="L1435" s="60"/>
      <c r="M1435" s="60"/>
    </row>
    <row r="1436">
      <c r="A1436" s="129"/>
      <c r="B1436" s="130"/>
      <c r="C1436" s="60"/>
      <c r="D1436" s="60"/>
      <c r="E1436" s="60"/>
      <c r="F1436" s="130"/>
      <c r="G1436" s="60"/>
      <c r="H1436" s="130"/>
      <c r="I1436" s="60"/>
      <c r="J1436" s="60"/>
      <c r="K1436" s="60"/>
      <c r="L1436" s="60"/>
      <c r="M1436" s="60"/>
    </row>
    <row r="1437">
      <c r="A1437" s="129"/>
      <c r="B1437" s="130"/>
      <c r="C1437" s="60"/>
      <c r="D1437" s="60"/>
      <c r="E1437" s="60"/>
      <c r="F1437" s="130"/>
      <c r="G1437" s="60"/>
      <c r="H1437" s="130"/>
      <c r="I1437" s="60"/>
      <c r="J1437" s="60"/>
      <c r="K1437" s="60"/>
      <c r="L1437" s="60"/>
      <c r="M1437" s="60"/>
    </row>
    <row r="1438">
      <c r="A1438" s="129"/>
      <c r="B1438" s="130"/>
      <c r="C1438" s="60"/>
      <c r="D1438" s="60"/>
      <c r="E1438" s="60"/>
      <c r="F1438" s="130"/>
      <c r="G1438" s="60"/>
      <c r="H1438" s="130"/>
      <c r="I1438" s="60"/>
      <c r="J1438" s="60"/>
      <c r="K1438" s="60"/>
      <c r="L1438" s="60"/>
      <c r="M1438" s="60"/>
    </row>
    <row r="1439">
      <c r="A1439" s="129"/>
      <c r="B1439" s="130"/>
      <c r="C1439" s="60"/>
      <c r="D1439" s="60"/>
      <c r="E1439" s="60"/>
      <c r="F1439" s="130"/>
      <c r="G1439" s="60"/>
      <c r="H1439" s="130"/>
      <c r="I1439" s="60"/>
      <c r="J1439" s="60"/>
      <c r="K1439" s="60"/>
      <c r="L1439" s="60"/>
      <c r="M1439" s="60"/>
    </row>
    <row r="1440">
      <c r="A1440" s="129"/>
      <c r="B1440" s="130"/>
      <c r="C1440" s="60"/>
      <c r="D1440" s="60"/>
      <c r="E1440" s="60"/>
      <c r="F1440" s="130"/>
      <c r="G1440" s="60"/>
      <c r="H1440" s="130"/>
      <c r="I1440" s="60"/>
      <c r="J1440" s="60"/>
      <c r="K1440" s="60"/>
      <c r="L1440" s="60"/>
      <c r="M1440" s="60"/>
    </row>
    <row r="1441">
      <c r="A1441" s="129"/>
      <c r="B1441" s="130"/>
      <c r="C1441" s="60"/>
      <c r="D1441" s="60"/>
      <c r="E1441" s="60"/>
      <c r="F1441" s="130"/>
      <c r="G1441" s="60"/>
      <c r="H1441" s="130"/>
      <c r="I1441" s="60"/>
      <c r="J1441" s="60"/>
      <c r="K1441" s="60"/>
      <c r="L1441" s="60"/>
      <c r="M1441" s="60"/>
    </row>
    <row r="1442">
      <c r="A1442" s="129"/>
      <c r="B1442" s="130"/>
      <c r="C1442" s="60"/>
      <c r="D1442" s="60"/>
      <c r="E1442" s="60"/>
      <c r="F1442" s="130"/>
      <c r="G1442" s="60"/>
      <c r="H1442" s="130"/>
      <c r="I1442" s="60"/>
      <c r="J1442" s="60"/>
      <c r="K1442" s="60"/>
      <c r="L1442" s="60"/>
      <c r="M1442" s="60"/>
    </row>
    <row r="1443">
      <c r="A1443" s="129"/>
      <c r="B1443" s="130"/>
      <c r="C1443" s="60"/>
      <c r="D1443" s="60"/>
      <c r="E1443" s="60"/>
      <c r="F1443" s="130"/>
      <c r="G1443" s="60"/>
      <c r="H1443" s="130"/>
      <c r="I1443" s="60"/>
      <c r="J1443" s="60"/>
      <c r="K1443" s="60"/>
      <c r="L1443" s="60"/>
      <c r="M1443" s="60"/>
    </row>
    <row r="1444">
      <c r="A1444" s="129"/>
      <c r="B1444" s="130"/>
      <c r="C1444" s="60"/>
      <c r="D1444" s="60"/>
      <c r="E1444" s="60"/>
      <c r="F1444" s="130"/>
      <c r="G1444" s="60"/>
      <c r="H1444" s="130"/>
      <c r="I1444" s="60"/>
      <c r="J1444" s="60"/>
      <c r="K1444" s="60"/>
      <c r="L1444" s="60"/>
      <c r="M1444" s="60"/>
    </row>
    <row r="1445">
      <c r="A1445" s="129"/>
      <c r="B1445" s="130"/>
      <c r="C1445" s="60"/>
      <c r="D1445" s="60"/>
      <c r="E1445" s="60"/>
      <c r="F1445" s="130"/>
      <c r="G1445" s="60"/>
      <c r="H1445" s="130"/>
      <c r="I1445" s="60"/>
      <c r="J1445" s="60"/>
      <c r="K1445" s="60"/>
      <c r="L1445" s="60"/>
      <c r="M1445" s="60"/>
    </row>
    <row r="1446">
      <c r="A1446" s="129"/>
      <c r="B1446" s="130"/>
      <c r="C1446" s="60"/>
      <c r="D1446" s="60"/>
      <c r="E1446" s="60"/>
      <c r="F1446" s="130"/>
      <c r="G1446" s="60"/>
      <c r="H1446" s="130"/>
      <c r="I1446" s="60"/>
      <c r="J1446" s="60"/>
      <c r="K1446" s="60"/>
      <c r="L1446" s="60"/>
      <c r="M1446" s="60"/>
    </row>
    <row r="1447">
      <c r="A1447" s="129"/>
      <c r="B1447" s="130"/>
      <c r="C1447" s="60"/>
      <c r="D1447" s="60"/>
      <c r="E1447" s="60"/>
      <c r="F1447" s="130"/>
      <c r="G1447" s="60"/>
      <c r="H1447" s="130"/>
      <c r="I1447" s="60"/>
      <c r="J1447" s="60"/>
      <c r="K1447" s="60"/>
      <c r="L1447" s="60"/>
      <c r="M1447" s="60"/>
    </row>
    <row r="1448">
      <c r="A1448" s="129"/>
      <c r="B1448" s="130"/>
      <c r="C1448" s="60"/>
      <c r="D1448" s="60"/>
      <c r="E1448" s="60"/>
      <c r="F1448" s="130"/>
      <c r="G1448" s="60"/>
      <c r="H1448" s="130"/>
      <c r="I1448" s="60"/>
      <c r="J1448" s="60"/>
      <c r="K1448" s="60"/>
      <c r="L1448" s="60"/>
      <c r="M1448" s="60"/>
    </row>
    <row r="1449">
      <c r="A1449" s="129"/>
      <c r="B1449" s="130"/>
      <c r="C1449" s="60"/>
      <c r="D1449" s="60"/>
      <c r="E1449" s="60"/>
      <c r="F1449" s="130"/>
      <c r="G1449" s="60"/>
      <c r="H1449" s="130"/>
      <c r="I1449" s="60"/>
      <c r="J1449" s="60"/>
      <c r="K1449" s="60"/>
      <c r="L1449" s="60"/>
      <c r="M1449" s="60"/>
    </row>
    <row r="1450">
      <c r="A1450" s="129"/>
      <c r="B1450" s="130"/>
      <c r="C1450" s="60"/>
      <c r="D1450" s="60"/>
      <c r="E1450" s="60"/>
      <c r="F1450" s="130"/>
      <c r="G1450" s="60"/>
      <c r="H1450" s="130"/>
      <c r="I1450" s="60"/>
      <c r="J1450" s="60"/>
      <c r="K1450" s="60"/>
      <c r="L1450" s="60"/>
      <c r="M1450" s="60"/>
    </row>
    <row r="1451">
      <c r="A1451" s="129"/>
      <c r="B1451" s="130"/>
      <c r="C1451" s="60"/>
      <c r="D1451" s="60"/>
      <c r="E1451" s="60"/>
      <c r="F1451" s="130"/>
      <c r="G1451" s="60"/>
      <c r="H1451" s="130"/>
      <c r="I1451" s="60"/>
      <c r="J1451" s="60"/>
      <c r="K1451" s="60"/>
      <c r="L1451" s="60"/>
      <c r="M1451" s="60"/>
    </row>
    <row r="1452">
      <c r="A1452" s="129"/>
      <c r="B1452" s="130"/>
      <c r="C1452" s="60"/>
      <c r="D1452" s="60"/>
      <c r="E1452" s="60"/>
      <c r="F1452" s="130"/>
      <c r="G1452" s="60"/>
      <c r="H1452" s="130"/>
      <c r="I1452" s="60"/>
      <c r="J1452" s="60"/>
      <c r="K1452" s="60"/>
      <c r="L1452" s="60"/>
      <c r="M1452" s="60"/>
    </row>
    <row r="1453">
      <c r="A1453" s="129"/>
      <c r="B1453" s="130"/>
      <c r="C1453" s="60"/>
      <c r="D1453" s="60"/>
      <c r="E1453" s="60"/>
      <c r="F1453" s="130"/>
      <c r="G1453" s="60"/>
      <c r="H1453" s="130"/>
      <c r="I1453" s="60"/>
      <c r="J1453" s="60"/>
      <c r="K1453" s="60"/>
      <c r="L1453" s="60"/>
      <c r="M1453" s="60"/>
    </row>
    <row r="1454">
      <c r="A1454" s="129"/>
      <c r="B1454" s="130"/>
      <c r="C1454" s="60"/>
      <c r="D1454" s="60"/>
      <c r="E1454" s="60"/>
      <c r="F1454" s="130"/>
      <c r="G1454" s="60"/>
      <c r="H1454" s="130"/>
      <c r="I1454" s="60"/>
      <c r="J1454" s="60"/>
      <c r="K1454" s="60"/>
      <c r="L1454" s="60"/>
      <c r="M1454" s="60"/>
    </row>
    <row r="1455">
      <c r="A1455" s="129"/>
      <c r="B1455" s="130"/>
      <c r="C1455" s="60"/>
      <c r="D1455" s="60"/>
      <c r="E1455" s="60"/>
      <c r="F1455" s="130"/>
      <c r="G1455" s="60"/>
      <c r="H1455" s="130"/>
      <c r="I1455" s="60"/>
      <c r="J1455" s="60"/>
      <c r="K1455" s="60"/>
      <c r="L1455" s="60"/>
      <c r="M1455" s="60"/>
    </row>
    <row r="1456">
      <c r="A1456" s="129"/>
      <c r="B1456" s="130"/>
      <c r="C1456" s="60"/>
      <c r="D1456" s="60"/>
      <c r="E1456" s="60"/>
      <c r="F1456" s="130"/>
      <c r="G1456" s="60"/>
      <c r="H1456" s="130"/>
      <c r="I1456" s="60"/>
      <c r="J1456" s="60"/>
      <c r="K1456" s="60"/>
      <c r="L1456" s="60"/>
      <c r="M1456" s="60"/>
    </row>
    <row r="1457">
      <c r="A1457" s="129"/>
      <c r="B1457" s="130"/>
      <c r="C1457" s="60"/>
      <c r="D1457" s="60"/>
      <c r="E1457" s="60"/>
      <c r="F1457" s="130"/>
      <c r="G1457" s="60"/>
      <c r="H1457" s="130"/>
      <c r="I1457" s="60"/>
      <c r="J1457" s="60"/>
      <c r="K1457" s="60"/>
      <c r="L1457" s="60"/>
      <c r="M1457" s="60"/>
    </row>
    <row r="1458">
      <c r="A1458" s="129"/>
      <c r="B1458" s="130"/>
      <c r="C1458" s="60"/>
      <c r="D1458" s="60"/>
      <c r="E1458" s="60"/>
      <c r="F1458" s="130"/>
      <c r="G1458" s="60"/>
      <c r="H1458" s="130"/>
      <c r="I1458" s="60"/>
      <c r="J1458" s="60"/>
      <c r="K1458" s="60"/>
      <c r="L1458" s="60"/>
      <c r="M1458" s="60"/>
    </row>
    <row r="1459">
      <c r="A1459" s="129"/>
      <c r="B1459" s="130"/>
      <c r="C1459" s="60"/>
      <c r="D1459" s="60"/>
      <c r="E1459" s="60"/>
      <c r="F1459" s="130"/>
      <c r="G1459" s="60"/>
      <c r="H1459" s="130"/>
      <c r="I1459" s="60"/>
      <c r="J1459" s="60"/>
      <c r="K1459" s="60"/>
      <c r="L1459" s="60"/>
      <c r="M1459" s="60"/>
    </row>
    <row r="1460">
      <c r="A1460" s="129"/>
      <c r="B1460" s="130"/>
      <c r="C1460" s="60"/>
      <c r="D1460" s="60"/>
      <c r="E1460" s="60"/>
      <c r="F1460" s="130"/>
      <c r="G1460" s="60"/>
      <c r="H1460" s="130"/>
      <c r="I1460" s="60"/>
      <c r="J1460" s="60"/>
      <c r="K1460" s="60"/>
      <c r="L1460" s="60"/>
      <c r="M1460" s="60"/>
    </row>
    <row r="1461">
      <c r="A1461" s="129"/>
      <c r="B1461" s="130"/>
      <c r="C1461" s="60"/>
      <c r="D1461" s="60"/>
      <c r="E1461" s="60"/>
      <c r="F1461" s="130"/>
      <c r="G1461" s="60"/>
      <c r="H1461" s="130"/>
      <c r="I1461" s="60"/>
      <c r="J1461" s="60"/>
      <c r="K1461" s="60"/>
      <c r="L1461" s="60"/>
      <c r="M1461" s="60"/>
    </row>
    <row r="1462">
      <c r="A1462" s="129"/>
      <c r="B1462" s="130"/>
      <c r="C1462" s="60"/>
      <c r="D1462" s="60"/>
      <c r="E1462" s="60"/>
      <c r="F1462" s="130"/>
      <c r="G1462" s="60"/>
      <c r="H1462" s="130"/>
      <c r="I1462" s="60"/>
      <c r="J1462" s="60"/>
      <c r="K1462" s="60"/>
      <c r="L1462" s="60"/>
      <c r="M1462" s="60"/>
    </row>
    <row r="1463">
      <c r="A1463" s="129"/>
      <c r="B1463" s="130"/>
      <c r="C1463" s="60"/>
      <c r="D1463" s="60"/>
      <c r="E1463" s="60"/>
      <c r="F1463" s="130"/>
      <c r="G1463" s="60"/>
      <c r="H1463" s="130"/>
      <c r="I1463" s="60"/>
      <c r="J1463" s="60"/>
      <c r="K1463" s="60"/>
      <c r="L1463" s="60"/>
      <c r="M1463" s="60"/>
    </row>
    <row r="1464">
      <c r="A1464" s="129"/>
      <c r="B1464" s="130"/>
      <c r="C1464" s="60"/>
      <c r="D1464" s="60"/>
      <c r="E1464" s="60"/>
      <c r="F1464" s="130"/>
      <c r="G1464" s="60"/>
      <c r="H1464" s="130"/>
      <c r="I1464" s="60"/>
      <c r="J1464" s="60"/>
      <c r="K1464" s="60"/>
      <c r="L1464" s="60"/>
      <c r="M1464" s="60"/>
    </row>
    <row r="1465">
      <c r="A1465" s="129"/>
      <c r="B1465" s="130"/>
      <c r="C1465" s="60"/>
      <c r="D1465" s="60"/>
      <c r="E1465" s="60"/>
      <c r="F1465" s="130"/>
      <c r="G1465" s="60"/>
      <c r="H1465" s="130"/>
      <c r="I1465" s="60"/>
      <c r="J1465" s="60"/>
      <c r="K1465" s="60"/>
      <c r="L1465" s="60"/>
      <c r="M1465" s="60"/>
    </row>
    <row r="1466">
      <c r="A1466" s="129"/>
      <c r="B1466" s="130"/>
      <c r="C1466" s="60"/>
      <c r="D1466" s="60"/>
      <c r="E1466" s="60"/>
      <c r="F1466" s="130"/>
      <c r="G1466" s="60"/>
      <c r="H1466" s="130"/>
      <c r="I1466" s="60"/>
      <c r="J1466" s="60"/>
      <c r="K1466" s="60"/>
      <c r="L1466" s="60"/>
      <c r="M1466" s="60"/>
    </row>
    <row r="1467">
      <c r="A1467" s="129"/>
      <c r="B1467" s="130"/>
      <c r="C1467" s="60"/>
      <c r="D1467" s="60"/>
      <c r="E1467" s="60"/>
      <c r="F1467" s="130"/>
      <c r="G1467" s="60"/>
      <c r="H1467" s="130"/>
      <c r="I1467" s="60"/>
      <c r="J1467" s="60"/>
      <c r="K1467" s="60"/>
      <c r="L1467" s="60"/>
      <c r="M1467" s="60"/>
    </row>
    <row r="1468">
      <c r="A1468" s="129"/>
      <c r="B1468" s="130"/>
      <c r="C1468" s="60"/>
      <c r="D1468" s="60"/>
      <c r="E1468" s="60"/>
      <c r="F1468" s="130"/>
      <c r="G1468" s="60"/>
      <c r="H1468" s="130"/>
      <c r="I1468" s="60"/>
      <c r="J1468" s="60"/>
      <c r="K1468" s="60"/>
      <c r="L1468" s="60"/>
      <c r="M1468" s="60"/>
    </row>
    <row r="1469">
      <c r="A1469" s="129"/>
      <c r="B1469" s="130"/>
      <c r="C1469" s="60"/>
      <c r="D1469" s="60"/>
      <c r="E1469" s="60"/>
      <c r="F1469" s="130"/>
      <c r="G1469" s="60"/>
      <c r="H1469" s="130"/>
      <c r="I1469" s="60"/>
      <c r="J1469" s="60"/>
      <c r="K1469" s="60"/>
      <c r="L1469" s="60"/>
      <c r="M1469" s="60"/>
    </row>
    <row r="1470">
      <c r="A1470" s="129"/>
      <c r="B1470" s="130"/>
      <c r="C1470" s="60"/>
      <c r="D1470" s="60"/>
      <c r="E1470" s="60"/>
      <c r="F1470" s="130"/>
      <c r="G1470" s="60"/>
      <c r="H1470" s="130"/>
      <c r="I1470" s="60"/>
      <c r="J1470" s="60"/>
      <c r="K1470" s="60"/>
      <c r="L1470" s="60"/>
      <c r="M1470" s="60"/>
    </row>
    <row r="1471">
      <c r="A1471" s="129"/>
      <c r="B1471" s="130"/>
      <c r="C1471" s="60"/>
      <c r="D1471" s="60"/>
      <c r="E1471" s="60"/>
      <c r="F1471" s="130"/>
      <c r="G1471" s="60"/>
      <c r="H1471" s="130"/>
      <c r="I1471" s="60"/>
      <c r="J1471" s="60"/>
      <c r="K1471" s="60"/>
      <c r="L1471" s="60"/>
      <c r="M1471" s="60"/>
    </row>
    <row r="1472">
      <c r="A1472" s="129"/>
      <c r="B1472" s="130"/>
      <c r="C1472" s="60"/>
      <c r="D1472" s="60"/>
      <c r="E1472" s="60"/>
      <c r="F1472" s="130"/>
      <c r="G1472" s="60"/>
      <c r="H1472" s="130"/>
      <c r="I1472" s="60"/>
      <c r="J1472" s="60"/>
      <c r="K1472" s="60"/>
      <c r="L1472" s="60"/>
      <c r="M1472" s="60"/>
    </row>
    <row r="1473">
      <c r="A1473" s="129"/>
      <c r="B1473" s="130"/>
      <c r="C1473" s="60"/>
      <c r="D1473" s="60"/>
      <c r="E1473" s="60"/>
      <c r="F1473" s="130"/>
      <c r="G1473" s="60"/>
      <c r="H1473" s="130"/>
      <c r="I1473" s="60"/>
      <c r="J1473" s="60"/>
      <c r="K1473" s="60"/>
      <c r="L1473" s="60"/>
      <c r="M1473" s="60"/>
    </row>
    <row r="1474">
      <c r="A1474" s="129"/>
      <c r="B1474" s="130"/>
      <c r="C1474" s="60"/>
      <c r="D1474" s="60"/>
      <c r="E1474" s="60"/>
      <c r="F1474" s="130"/>
      <c r="G1474" s="60"/>
      <c r="H1474" s="130"/>
      <c r="I1474" s="60"/>
      <c r="J1474" s="60"/>
      <c r="K1474" s="60"/>
      <c r="L1474" s="60"/>
      <c r="M1474" s="60"/>
    </row>
    <row r="1475">
      <c r="A1475" s="129"/>
      <c r="B1475" s="130"/>
      <c r="C1475" s="60"/>
      <c r="D1475" s="60"/>
      <c r="E1475" s="60"/>
      <c r="F1475" s="130"/>
      <c r="G1475" s="60"/>
      <c r="H1475" s="130"/>
      <c r="I1475" s="60"/>
      <c r="J1475" s="60"/>
      <c r="K1475" s="60"/>
      <c r="L1475" s="60"/>
      <c r="M1475" s="60"/>
    </row>
    <row r="1476">
      <c r="A1476" s="129"/>
      <c r="B1476" s="130"/>
      <c r="C1476" s="60"/>
      <c r="D1476" s="60"/>
      <c r="E1476" s="60"/>
      <c r="F1476" s="130"/>
      <c r="G1476" s="60"/>
      <c r="H1476" s="130"/>
      <c r="I1476" s="60"/>
      <c r="J1476" s="60"/>
      <c r="K1476" s="60"/>
      <c r="L1476" s="60"/>
      <c r="M1476" s="60"/>
    </row>
    <row r="1477">
      <c r="A1477" s="129"/>
      <c r="B1477" s="130"/>
      <c r="C1477" s="60"/>
      <c r="D1477" s="60"/>
      <c r="E1477" s="60"/>
      <c r="F1477" s="130"/>
      <c r="G1477" s="60"/>
      <c r="H1477" s="130"/>
      <c r="I1477" s="60"/>
      <c r="J1477" s="60"/>
      <c r="K1477" s="60"/>
      <c r="L1477" s="60"/>
      <c r="M1477" s="60"/>
    </row>
    <row r="1478">
      <c r="A1478" s="129"/>
      <c r="B1478" s="130"/>
      <c r="C1478" s="60"/>
      <c r="D1478" s="60"/>
      <c r="E1478" s="60"/>
      <c r="F1478" s="130"/>
      <c r="G1478" s="60"/>
      <c r="H1478" s="130"/>
      <c r="I1478" s="60"/>
      <c r="J1478" s="60"/>
      <c r="K1478" s="60"/>
      <c r="L1478" s="60"/>
      <c r="M1478" s="60"/>
    </row>
    <row r="1479">
      <c r="A1479" s="129"/>
      <c r="B1479" s="130"/>
      <c r="C1479" s="60"/>
      <c r="D1479" s="60"/>
      <c r="E1479" s="60"/>
      <c r="F1479" s="130"/>
      <c r="G1479" s="60"/>
      <c r="H1479" s="130"/>
      <c r="I1479" s="60"/>
      <c r="J1479" s="60"/>
      <c r="K1479" s="60"/>
      <c r="L1479" s="60"/>
      <c r="M1479" s="60"/>
    </row>
    <row r="1480">
      <c r="A1480" s="129"/>
      <c r="B1480" s="130"/>
      <c r="C1480" s="60"/>
      <c r="D1480" s="60"/>
      <c r="E1480" s="60"/>
      <c r="F1480" s="130"/>
      <c r="G1480" s="60"/>
      <c r="H1480" s="130"/>
      <c r="I1480" s="60"/>
      <c r="J1480" s="60"/>
      <c r="K1480" s="60"/>
      <c r="L1480" s="60"/>
      <c r="M1480" s="60"/>
    </row>
    <row r="1481">
      <c r="A1481" s="129"/>
      <c r="B1481" s="130"/>
      <c r="C1481" s="60"/>
      <c r="D1481" s="60"/>
      <c r="E1481" s="60"/>
      <c r="F1481" s="130"/>
      <c r="G1481" s="60"/>
      <c r="H1481" s="130"/>
      <c r="I1481" s="60"/>
      <c r="J1481" s="60"/>
      <c r="K1481" s="60"/>
      <c r="L1481" s="60"/>
      <c r="M1481" s="60"/>
    </row>
    <row r="1482">
      <c r="A1482" s="129"/>
      <c r="B1482" s="130"/>
      <c r="C1482" s="60"/>
      <c r="D1482" s="60"/>
      <c r="E1482" s="60"/>
      <c r="F1482" s="130"/>
      <c r="G1482" s="60"/>
      <c r="H1482" s="130"/>
      <c r="I1482" s="60"/>
      <c r="J1482" s="60"/>
      <c r="K1482" s="60"/>
      <c r="L1482" s="60"/>
      <c r="M1482" s="60"/>
    </row>
    <row r="1483">
      <c r="A1483" s="129"/>
      <c r="B1483" s="130"/>
      <c r="C1483" s="60"/>
      <c r="D1483" s="60"/>
      <c r="E1483" s="60"/>
      <c r="F1483" s="130"/>
      <c r="G1483" s="60"/>
      <c r="H1483" s="130"/>
      <c r="I1483" s="60"/>
      <c r="J1483" s="60"/>
      <c r="K1483" s="60"/>
      <c r="L1483" s="60"/>
      <c r="M1483" s="60"/>
    </row>
    <row r="1484">
      <c r="A1484" s="129"/>
      <c r="B1484" s="130"/>
      <c r="C1484" s="60"/>
      <c r="D1484" s="60"/>
      <c r="E1484" s="60"/>
      <c r="F1484" s="130"/>
      <c r="G1484" s="60"/>
      <c r="H1484" s="130"/>
      <c r="I1484" s="60"/>
      <c r="J1484" s="60"/>
      <c r="K1484" s="60"/>
      <c r="L1484" s="60"/>
      <c r="M1484" s="60"/>
    </row>
    <row r="1485">
      <c r="A1485" s="129"/>
      <c r="B1485" s="130"/>
      <c r="C1485" s="60"/>
      <c r="D1485" s="60"/>
      <c r="E1485" s="60"/>
      <c r="F1485" s="130"/>
      <c r="G1485" s="60"/>
      <c r="H1485" s="130"/>
      <c r="I1485" s="60"/>
      <c r="J1485" s="60"/>
      <c r="K1485" s="60"/>
      <c r="L1485" s="60"/>
      <c r="M1485" s="60"/>
    </row>
    <row r="1486">
      <c r="A1486" s="129"/>
      <c r="B1486" s="130"/>
      <c r="C1486" s="60"/>
      <c r="D1486" s="60"/>
      <c r="E1486" s="60"/>
      <c r="F1486" s="130"/>
      <c r="G1486" s="60"/>
      <c r="H1486" s="130"/>
      <c r="I1486" s="60"/>
      <c r="J1486" s="60"/>
      <c r="K1486" s="60"/>
      <c r="L1486" s="60"/>
      <c r="M1486" s="60"/>
    </row>
    <row r="1487">
      <c r="A1487" s="129"/>
      <c r="B1487" s="130"/>
      <c r="C1487" s="60"/>
      <c r="D1487" s="60"/>
      <c r="E1487" s="60"/>
      <c r="F1487" s="130"/>
      <c r="G1487" s="60"/>
      <c r="H1487" s="130"/>
      <c r="I1487" s="60"/>
      <c r="J1487" s="60"/>
      <c r="K1487" s="60"/>
      <c r="L1487" s="60"/>
      <c r="M1487" s="60"/>
    </row>
    <row r="1488">
      <c r="A1488" s="129"/>
      <c r="B1488" s="130"/>
      <c r="C1488" s="60"/>
      <c r="D1488" s="60"/>
      <c r="E1488" s="60"/>
      <c r="F1488" s="130"/>
      <c r="G1488" s="60"/>
      <c r="H1488" s="130"/>
      <c r="I1488" s="60"/>
      <c r="J1488" s="60"/>
      <c r="K1488" s="60"/>
      <c r="L1488" s="60"/>
      <c r="M1488" s="60"/>
    </row>
    <row r="1489">
      <c r="A1489" s="129"/>
      <c r="B1489" s="130"/>
      <c r="C1489" s="60"/>
      <c r="D1489" s="60"/>
      <c r="E1489" s="60"/>
      <c r="F1489" s="130"/>
      <c r="G1489" s="60"/>
      <c r="H1489" s="130"/>
      <c r="I1489" s="60"/>
      <c r="J1489" s="60"/>
      <c r="K1489" s="60"/>
      <c r="L1489" s="60"/>
      <c r="M1489" s="60"/>
    </row>
    <row r="1490">
      <c r="A1490" s="129"/>
      <c r="B1490" s="130"/>
      <c r="C1490" s="60"/>
      <c r="D1490" s="60"/>
      <c r="E1490" s="60"/>
      <c r="F1490" s="130"/>
      <c r="G1490" s="60"/>
      <c r="H1490" s="130"/>
      <c r="I1490" s="60"/>
      <c r="J1490" s="60"/>
      <c r="K1490" s="60"/>
      <c r="L1490" s="60"/>
      <c r="M1490" s="60"/>
    </row>
    <row r="1491">
      <c r="A1491" s="129"/>
      <c r="B1491" s="130"/>
      <c r="C1491" s="60"/>
      <c r="D1491" s="60"/>
      <c r="E1491" s="60"/>
      <c r="F1491" s="130"/>
      <c r="G1491" s="60"/>
      <c r="H1491" s="130"/>
      <c r="I1491" s="60"/>
      <c r="J1491" s="60"/>
      <c r="K1491" s="60"/>
      <c r="L1491" s="60"/>
      <c r="M1491" s="60"/>
    </row>
    <row r="1492">
      <c r="A1492" s="129"/>
      <c r="B1492" s="130"/>
      <c r="C1492" s="60"/>
      <c r="D1492" s="60"/>
      <c r="E1492" s="60"/>
      <c r="F1492" s="130"/>
      <c r="G1492" s="60"/>
      <c r="H1492" s="130"/>
      <c r="I1492" s="60"/>
      <c r="J1492" s="60"/>
      <c r="K1492" s="60"/>
      <c r="L1492" s="60"/>
      <c r="M1492" s="60"/>
    </row>
    <row r="1493">
      <c r="A1493" s="129"/>
      <c r="B1493" s="130"/>
      <c r="C1493" s="60"/>
      <c r="D1493" s="60"/>
      <c r="E1493" s="60"/>
      <c r="F1493" s="130"/>
      <c r="G1493" s="60"/>
      <c r="H1493" s="130"/>
      <c r="I1493" s="60"/>
      <c r="J1493" s="60"/>
      <c r="K1493" s="60"/>
      <c r="L1493" s="60"/>
      <c r="M1493" s="60"/>
    </row>
    <row r="1494">
      <c r="A1494" s="129"/>
      <c r="B1494" s="130"/>
      <c r="C1494" s="60"/>
      <c r="D1494" s="60"/>
      <c r="E1494" s="60"/>
      <c r="F1494" s="130"/>
      <c r="G1494" s="60"/>
      <c r="H1494" s="130"/>
      <c r="I1494" s="60"/>
      <c r="J1494" s="60"/>
      <c r="K1494" s="60"/>
      <c r="L1494" s="60"/>
      <c r="M1494" s="60"/>
    </row>
    <row r="1495">
      <c r="A1495" s="129"/>
      <c r="B1495" s="130"/>
      <c r="C1495" s="60"/>
      <c r="D1495" s="60"/>
      <c r="E1495" s="60"/>
      <c r="F1495" s="130"/>
      <c r="G1495" s="60"/>
      <c r="H1495" s="130"/>
      <c r="I1495" s="60"/>
      <c r="J1495" s="60"/>
      <c r="K1495" s="60"/>
      <c r="L1495" s="60"/>
      <c r="M1495" s="60"/>
    </row>
    <row r="1496">
      <c r="A1496" s="129"/>
      <c r="B1496" s="130"/>
      <c r="C1496" s="60"/>
      <c r="D1496" s="60"/>
      <c r="E1496" s="60"/>
      <c r="F1496" s="130"/>
      <c r="G1496" s="60"/>
      <c r="H1496" s="130"/>
      <c r="I1496" s="60"/>
      <c r="J1496" s="60"/>
      <c r="K1496" s="60"/>
      <c r="L1496" s="60"/>
      <c r="M1496" s="60"/>
    </row>
    <row r="1497">
      <c r="A1497" s="129"/>
      <c r="B1497" s="130"/>
      <c r="C1497" s="60"/>
      <c r="D1497" s="60"/>
      <c r="E1497" s="60"/>
      <c r="F1497" s="130"/>
      <c r="G1497" s="60"/>
      <c r="H1497" s="130"/>
      <c r="I1497" s="60"/>
      <c r="J1497" s="60"/>
      <c r="K1497" s="60"/>
      <c r="L1497" s="60"/>
      <c r="M1497" s="60"/>
    </row>
    <row r="1498">
      <c r="A1498" s="129"/>
      <c r="B1498" s="130"/>
      <c r="C1498" s="60"/>
      <c r="D1498" s="60"/>
      <c r="E1498" s="60"/>
      <c r="F1498" s="130"/>
      <c r="G1498" s="60"/>
      <c r="H1498" s="130"/>
      <c r="I1498" s="60"/>
      <c r="J1498" s="60"/>
      <c r="K1498" s="60"/>
      <c r="L1498" s="60"/>
      <c r="M1498" s="60"/>
    </row>
    <row r="1499">
      <c r="A1499" s="129"/>
      <c r="B1499" s="130"/>
      <c r="C1499" s="60"/>
      <c r="D1499" s="60"/>
      <c r="E1499" s="60"/>
      <c r="F1499" s="130"/>
      <c r="G1499" s="60"/>
      <c r="H1499" s="130"/>
      <c r="I1499" s="60"/>
      <c r="J1499" s="60"/>
      <c r="K1499" s="60"/>
      <c r="L1499" s="60"/>
      <c r="M1499" s="60"/>
    </row>
    <row r="1500">
      <c r="A1500" s="129"/>
      <c r="B1500" s="130"/>
      <c r="C1500" s="60"/>
      <c r="D1500" s="60"/>
      <c r="E1500" s="60"/>
      <c r="F1500" s="130"/>
      <c r="G1500" s="60"/>
      <c r="H1500" s="130"/>
      <c r="I1500" s="60"/>
      <c r="J1500" s="60"/>
      <c r="K1500" s="60"/>
      <c r="L1500" s="60"/>
      <c r="M1500" s="60"/>
    </row>
    <row r="1501">
      <c r="A1501" s="129"/>
      <c r="B1501" s="130"/>
      <c r="C1501" s="60"/>
      <c r="D1501" s="60"/>
      <c r="E1501" s="60"/>
      <c r="F1501" s="130"/>
      <c r="G1501" s="60"/>
      <c r="H1501" s="130"/>
      <c r="I1501" s="60"/>
      <c r="J1501" s="60"/>
      <c r="K1501" s="60"/>
      <c r="L1501" s="60"/>
      <c r="M1501" s="60"/>
    </row>
    <row r="1502">
      <c r="A1502" s="129"/>
      <c r="B1502" s="130"/>
      <c r="C1502" s="60"/>
      <c r="D1502" s="60"/>
      <c r="E1502" s="60"/>
      <c r="F1502" s="130"/>
      <c r="G1502" s="60"/>
      <c r="H1502" s="130"/>
      <c r="I1502" s="60"/>
      <c r="J1502" s="60"/>
      <c r="K1502" s="60"/>
      <c r="L1502" s="60"/>
      <c r="M1502" s="60"/>
    </row>
    <row r="1503">
      <c r="A1503" s="129"/>
      <c r="B1503" s="130"/>
      <c r="C1503" s="60"/>
      <c r="D1503" s="60"/>
      <c r="E1503" s="60"/>
      <c r="F1503" s="130"/>
      <c r="G1503" s="60"/>
      <c r="H1503" s="130"/>
      <c r="I1503" s="60"/>
      <c r="J1503" s="60"/>
      <c r="K1503" s="60"/>
      <c r="L1503" s="60"/>
      <c r="M1503" s="60"/>
    </row>
    <row r="1504">
      <c r="A1504" s="129"/>
      <c r="B1504" s="130"/>
      <c r="C1504" s="60"/>
      <c r="D1504" s="60"/>
      <c r="E1504" s="60"/>
      <c r="F1504" s="130"/>
      <c r="G1504" s="60"/>
      <c r="H1504" s="130"/>
      <c r="I1504" s="60"/>
      <c r="J1504" s="60"/>
      <c r="K1504" s="60"/>
      <c r="L1504" s="60"/>
      <c r="M1504" s="60"/>
    </row>
    <row r="1505">
      <c r="A1505" s="129"/>
      <c r="B1505" s="130"/>
      <c r="C1505" s="60"/>
      <c r="D1505" s="60"/>
      <c r="E1505" s="60"/>
      <c r="F1505" s="130"/>
      <c r="G1505" s="60"/>
      <c r="H1505" s="130"/>
      <c r="I1505" s="60"/>
      <c r="J1505" s="60"/>
      <c r="K1505" s="60"/>
      <c r="L1505" s="60"/>
      <c r="M1505" s="60"/>
    </row>
    <row r="1506">
      <c r="A1506" s="129"/>
      <c r="B1506" s="130"/>
      <c r="C1506" s="60"/>
      <c r="D1506" s="60"/>
      <c r="E1506" s="60"/>
      <c r="F1506" s="130"/>
      <c r="G1506" s="60"/>
      <c r="H1506" s="130"/>
      <c r="I1506" s="60"/>
      <c r="J1506" s="60"/>
      <c r="K1506" s="60"/>
      <c r="L1506" s="60"/>
      <c r="M1506" s="60"/>
    </row>
    <row r="1507">
      <c r="A1507" s="129"/>
      <c r="B1507" s="130"/>
      <c r="C1507" s="60"/>
      <c r="D1507" s="60"/>
      <c r="E1507" s="60"/>
      <c r="F1507" s="130"/>
      <c r="G1507" s="60"/>
      <c r="H1507" s="130"/>
      <c r="I1507" s="60"/>
      <c r="J1507" s="60"/>
      <c r="K1507" s="60"/>
      <c r="L1507" s="60"/>
      <c r="M1507" s="60"/>
    </row>
    <row r="1508">
      <c r="A1508" s="129"/>
      <c r="B1508" s="130"/>
      <c r="C1508" s="60"/>
      <c r="D1508" s="60"/>
      <c r="E1508" s="60"/>
      <c r="F1508" s="130"/>
      <c r="G1508" s="60"/>
      <c r="H1508" s="130"/>
      <c r="I1508" s="60"/>
      <c r="J1508" s="60"/>
      <c r="K1508" s="60"/>
      <c r="L1508" s="60"/>
      <c r="M1508" s="60"/>
    </row>
    <row r="1509">
      <c r="A1509" s="129"/>
      <c r="B1509" s="130"/>
      <c r="C1509" s="60"/>
      <c r="D1509" s="60"/>
      <c r="E1509" s="60"/>
      <c r="F1509" s="130"/>
      <c r="G1509" s="60"/>
      <c r="H1509" s="130"/>
      <c r="I1509" s="60"/>
      <c r="J1509" s="60"/>
      <c r="K1509" s="60"/>
      <c r="L1509" s="60"/>
      <c r="M1509" s="60"/>
    </row>
    <row r="1510">
      <c r="A1510" s="129"/>
      <c r="B1510" s="130"/>
      <c r="C1510" s="60"/>
      <c r="D1510" s="60"/>
      <c r="E1510" s="60"/>
      <c r="F1510" s="130"/>
      <c r="G1510" s="60"/>
      <c r="H1510" s="130"/>
      <c r="I1510" s="60"/>
      <c r="J1510" s="60"/>
      <c r="K1510" s="60"/>
      <c r="L1510" s="60"/>
      <c r="M1510" s="60"/>
    </row>
    <row r="1511">
      <c r="A1511" s="129"/>
      <c r="B1511" s="130"/>
      <c r="C1511" s="60"/>
      <c r="D1511" s="60"/>
      <c r="E1511" s="60"/>
      <c r="F1511" s="130"/>
      <c r="G1511" s="60"/>
      <c r="H1511" s="130"/>
      <c r="I1511" s="60"/>
      <c r="J1511" s="60"/>
      <c r="K1511" s="60"/>
      <c r="L1511" s="60"/>
      <c r="M1511" s="60"/>
    </row>
    <row r="1512">
      <c r="A1512" s="129"/>
      <c r="B1512" s="130"/>
      <c r="C1512" s="60"/>
      <c r="D1512" s="60"/>
      <c r="E1512" s="60"/>
      <c r="F1512" s="130"/>
      <c r="G1512" s="60"/>
      <c r="H1512" s="130"/>
      <c r="I1512" s="60"/>
      <c r="J1512" s="60"/>
      <c r="K1512" s="60"/>
      <c r="L1512" s="60"/>
      <c r="M1512" s="60"/>
    </row>
    <row r="1513">
      <c r="A1513" s="129"/>
      <c r="B1513" s="130"/>
      <c r="C1513" s="60"/>
      <c r="D1513" s="60"/>
      <c r="E1513" s="60"/>
      <c r="F1513" s="130"/>
      <c r="G1513" s="60"/>
      <c r="H1513" s="130"/>
      <c r="I1513" s="60"/>
      <c r="J1513" s="60"/>
      <c r="K1513" s="60"/>
      <c r="L1513" s="60"/>
      <c r="M1513" s="60"/>
    </row>
    <row r="1514">
      <c r="A1514" s="129"/>
      <c r="B1514" s="130"/>
      <c r="C1514" s="60"/>
      <c r="D1514" s="60"/>
      <c r="E1514" s="60"/>
      <c r="F1514" s="130"/>
      <c r="G1514" s="60"/>
      <c r="H1514" s="130"/>
      <c r="I1514" s="60"/>
      <c r="J1514" s="60"/>
      <c r="K1514" s="60"/>
      <c r="L1514" s="60"/>
      <c r="M1514" s="60"/>
    </row>
    <row r="1515">
      <c r="A1515" s="129"/>
      <c r="B1515" s="130"/>
      <c r="C1515" s="60"/>
      <c r="D1515" s="60"/>
      <c r="E1515" s="60"/>
      <c r="F1515" s="130"/>
      <c r="G1515" s="60"/>
      <c r="H1515" s="130"/>
      <c r="I1515" s="60"/>
      <c r="J1515" s="60"/>
      <c r="K1515" s="60"/>
      <c r="L1515" s="60"/>
      <c r="M1515" s="60"/>
    </row>
    <row r="1516">
      <c r="A1516" s="129"/>
      <c r="B1516" s="130"/>
      <c r="C1516" s="60"/>
      <c r="D1516" s="60"/>
      <c r="E1516" s="60"/>
      <c r="F1516" s="130"/>
      <c r="G1516" s="60"/>
      <c r="H1516" s="130"/>
      <c r="I1516" s="60"/>
      <c r="J1516" s="60"/>
      <c r="K1516" s="60"/>
      <c r="L1516" s="60"/>
      <c r="M1516" s="60"/>
    </row>
    <row r="1517">
      <c r="A1517" s="129"/>
      <c r="B1517" s="130"/>
      <c r="C1517" s="60"/>
      <c r="D1517" s="60"/>
      <c r="E1517" s="60"/>
      <c r="F1517" s="130"/>
      <c r="G1517" s="60"/>
      <c r="H1517" s="130"/>
      <c r="I1517" s="60"/>
      <c r="J1517" s="60"/>
      <c r="K1517" s="60"/>
      <c r="L1517" s="60"/>
      <c r="M1517" s="60"/>
    </row>
    <row r="1518">
      <c r="A1518" s="129"/>
      <c r="B1518" s="130"/>
      <c r="C1518" s="60"/>
      <c r="D1518" s="60"/>
      <c r="E1518" s="60"/>
      <c r="F1518" s="130"/>
      <c r="G1518" s="60"/>
      <c r="H1518" s="130"/>
      <c r="I1518" s="60"/>
      <c r="J1518" s="60"/>
      <c r="K1518" s="60"/>
      <c r="L1518" s="60"/>
      <c r="M1518" s="60"/>
    </row>
    <row r="1519">
      <c r="A1519" s="129"/>
      <c r="B1519" s="130"/>
      <c r="C1519" s="60"/>
      <c r="D1519" s="60"/>
      <c r="E1519" s="60"/>
      <c r="F1519" s="130"/>
      <c r="G1519" s="60"/>
      <c r="H1519" s="130"/>
      <c r="I1519" s="60"/>
      <c r="J1519" s="60"/>
      <c r="K1519" s="60"/>
      <c r="L1519" s="60"/>
      <c r="M1519" s="60"/>
    </row>
    <row r="1520">
      <c r="A1520" s="129"/>
      <c r="B1520" s="130"/>
      <c r="C1520" s="60"/>
      <c r="D1520" s="60"/>
      <c r="E1520" s="60"/>
      <c r="F1520" s="130"/>
      <c r="G1520" s="60"/>
      <c r="H1520" s="130"/>
      <c r="I1520" s="60"/>
      <c r="J1520" s="60"/>
      <c r="K1520" s="60"/>
      <c r="L1520" s="60"/>
      <c r="M1520" s="60"/>
    </row>
    <row r="1521">
      <c r="A1521" s="129"/>
      <c r="B1521" s="130"/>
      <c r="C1521" s="60"/>
      <c r="D1521" s="60"/>
      <c r="E1521" s="60"/>
      <c r="F1521" s="130"/>
      <c r="G1521" s="60"/>
      <c r="H1521" s="130"/>
      <c r="I1521" s="60"/>
      <c r="J1521" s="60"/>
      <c r="K1521" s="60"/>
      <c r="L1521" s="60"/>
      <c r="M1521" s="60"/>
    </row>
    <row r="1522">
      <c r="A1522" s="129"/>
      <c r="B1522" s="130"/>
      <c r="C1522" s="60"/>
      <c r="D1522" s="60"/>
      <c r="E1522" s="60"/>
      <c r="F1522" s="130"/>
      <c r="G1522" s="60"/>
      <c r="H1522" s="130"/>
      <c r="I1522" s="60"/>
      <c r="J1522" s="60"/>
      <c r="K1522" s="60"/>
      <c r="L1522" s="60"/>
      <c r="M1522" s="60"/>
    </row>
    <row r="1523">
      <c r="A1523" s="129"/>
      <c r="B1523" s="130"/>
      <c r="C1523" s="60"/>
      <c r="D1523" s="60"/>
      <c r="E1523" s="60"/>
      <c r="F1523" s="130"/>
      <c r="G1523" s="60"/>
      <c r="H1523" s="130"/>
      <c r="I1523" s="60"/>
      <c r="J1523" s="60"/>
      <c r="K1523" s="60"/>
      <c r="L1523" s="60"/>
      <c r="M1523" s="60"/>
    </row>
    <row r="1524">
      <c r="A1524" s="129"/>
      <c r="B1524" s="130"/>
      <c r="C1524" s="60"/>
      <c r="D1524" s="60"/>
      <c r="E1524" s="60"/>
      <c r="F1524" s="130"/>
      <c r="G1524" s="60"/>
      <c r="H1524" s="130"/>
      <c r="I1524" s="60"/>
      <c r="J1524" s="60"/>
      <c r="K1524" s="60"/>
      <c r="L1524" s="60"/>
      <c r="M1524" s="60"/>
    </row>
    <row r="1525">
      <c r="A1525" s="129"/>
      <c r="B1525" s="130"/>
      <c r="C1525" s="60"/>
      <c r="D1525" s="60"/>
      <c r="E1525" s="60"/>
      <c r="F1525" s="130"/>
      <c r="G1525" s="60"/>
      <c r="H1525" s="130"/>
      <c r="I1525" s="60"/>
      <c r="J1525" s="60"/>
      <c r="K1525" s="60"/>
      <c r="L1525" s="60"/>
      <c r="M1525" s="60"/>
    </row>
    <row r="1526">
      <c r="A1526" s="129"/>
      <c r="B1526" s="130"/>
      <c r="C1526" s="60"/>
      <c r="D1526" s="60"/>
      <c r="E1526" s="60"/>
      <c r="F1526" s="130"/>
      <c r="G1526" s="60"/>
      <c r="H1526" s="130"/>
      <c r="I1526" s="60"/>
      <c r="J1526" s="60"/>
      <c r="K1526" s="60"/>
      <c r="L1526" s="60"/>
      <c r="M1526" s="60"/>
    </row>
    <row r="1527">
      <c r="A1527" s="129"/>
      <c r="B1527" s="130"/>
      <c r="C1527" s="60"/>
      <c r="D1527" s="60"/>
      <c r="E1527" s="60"/>
      <c r="F1527" s="130"/>
      <c r="G1527" s="60"/>
      <c r="H1527" s="130"/>
      <c r="I1527" s="60"/>
      <c r="J1527" s="60"/>
      <c r="K1527" s="60"/>
      <c r="L1527" s="60"/>
      <c r="M1527" s="60"/>
    </row>
    <row r="1528">
      <c r="A1528" s="129"/>
      <c r="B1528" s="130"/>
      <c r="C1528" s="60"/>
      <c r="D1528" s="60"/>
      <c r="E1528" s="60"/>
      <c r="F1528" s="130"/>
      <c r="G1528" s="60"/>
      <c r="H1528" s="130"/>
      <c r="I1528" s="60"/>
      <c r="J1528" s="60"/>
      <c r="K1528" s="60"/>
      <c r="L1528" s="60"/>
      <c r="M1528" s="60"/>
    </row>
    <row r="1529">
      <c r="A1529" s="129"/>
      <c r="B1529" s="130"/>
      <c r="C1529" s="60"/>
      <c r="D1529" s="60"/>
      <c r="E1529" s="60"/>
      <c r="F1529" s="130"/>
      <c r="G1529" s="60"/>
      <c r="H1529" s="130"/>
      <c r="I1529" s="60"/>
      <c r="J1529" s="60"/>
      <c r="K1529" s="60"/>
      <c r="L1529" s="60"/>
      <c r="M1529" s="60"/>
    </row>
    <row r="1530">
      <c r="A1530" s="129"/>
      <c r="B1530" s="130"/>
      <c r="C1530" s="60"/>
      <c r="D1530" s="60"/>
      <c r="E1530" s="60"/>
      <c r="F1530" s="130"/>
      <c r="G1530" s="60"/>
      <c r="H1530" s="130"/>
      <c r="I1530" s="60"/>
      <c r="J1530" s="60"/>
      <c r="K1530" s="60"/>
      <c r="L1530" s="60"/>
      <c r="M1530" s="60"/>
    </row>
    <row r="1531">
      <c r="A1531" s="129"/>
      <c r="B1531" s="130"/>
      <c r="C1531" s="60"/>
      <c r="D1531" s="60"/>
      <c r="E1531" s="60"/>
      <c r="F1531" s="130"/>
      <c r="G1531" s="60"/>
      <c r="H1531" s="130"/>
      <c r="I1531" s="60"/>
      <c r="J1531" s="60"/>
      <c r="K1531" s="60"/>
      <c r="L1531" s="60"/>
      <c r="M1531" s="60"/>
    </row>
    <row r="1532">
      <c r="A1532" s="129"/>
      <c r="B1532" s="130"/>
      <c r="C1532" s="60"/>
      <c r="D1532" s="60"/>
      <c r="E1532" s="60"/>
      <c r="F1532" s="130"/>
      <c r="G1532" s="60"/>
      <c r="H1532" s="130"/>
      <c r="I1532" s="60"/>
      <c r="J1532" s="60"/>
      <c r="K1532" s="60"/>
      <c r="L1532" s="60"/>
      <c r="M1532" s="60"/>
    </row>
    <row r="1533">
      <c r="A1533" s="129"/>
      <c r="B1533" s="130"/>
      <c r="C1533" s="60"/>
      <c r="D1533" s="60"/>
      <c r="E1533" s="60"/>
      <c r="F1533" s="130"/>
      <c r="G1533" s="60"/>
      <c r="H1533" s="130"/>
      <c r="I1533" s="60"/>
      <c r="J1533" s="60"/>
      <c r="K1533" s="60"/>
      <c r="L1533" s="60"/>
      <c r="M1533" s="60"/>
    </row>
    <row r="1534">
      <c r="A1534" s="129"/>
      <c r="B1534" s="130"/>
      <c r="C1534" s="60"/>
      <c r="D1534" s="60"/>
      <c r="E1534" s="60"/>
      <c r="F1534" s="130"/>
      <c r="G1534" s="60"/>
      <c r="H1534" s="130"/>
      <c r="I1534" s="60"/>
      <c r="J1534" s="60"/>
      <c r="K1534" s="60"/>
      <c r="L1534" s="60"/>
      <c r="M1534" s="60"/>
    </row>
    <row r="1535">
      <c r="A1535" s="129"/>
      <c r="B1535" s="130"/>
      <c r="C1535" s="60"/>
      <c r="D1535" s="60"/>
      <c r="E1535" s="60"/>
      <c r="F1535" s="130"/>
      <c r="G1535" s="60"/>
      <c r="H1535" s="130"/>
      <c r="I1535" s="60"/>
      <c r="J1535" s="60"/>
      <c r="K1535" s="60"/>
      <c r="L1535" s="60"/>
      <c r="M1535" s="60"/>
    </row>
    <row r="1536">
      <c r="A1536" s="129"/>
      <c r="B1536" s="130"/>
      <c r="C1536" s="60"/>
      <c r="D1536" s="60"/>
      <c r="E1536" s="60"/>
      <c r="F1536" s="130"/>
      <c r="G1536" s="60"/>
      <c r="H1536" s="130"/>
      <c r="I1536" s="60"/>
      <c r="J1536" s="60"/>
      <c r="K1536" s="60"/>
      <c r="L1536" s="60"/>
      <c r="M1536" s="60"/>
    </row>
    <row r="1537">
      <c r="A1537" s="129"/>
      <c r="B1537" s="130"/>
      <c r="C1537" s="60"/>
      <c r="D1537" s="60"/>
      <c r="E1537" s="60"/>
      <c r="F1537" s="130"/>
      <c r="G1537" s="60"/>
      <c r="H1537" s="130"/>
      <c r="I1537" s="60"/>
      <c r="J1537" s="60"/>
      <c r="K1537" s="60"/>
      <c r="L1537" s="60"/>
      <c r="M1537" s="60"/>
    </row>
    <row r="1538">
      <c r="A1538" s="129"/>
      <c r="B1538" s="130"/>
      <c r="C1538" s="60"/>
      <c r="D1538" s="60"/>
      <c r="E1538" s="60"/>
      <c r="F1538" s="130"/>
      <c r="G1538" s="60"/>
      <c r="H1538" s="130"/>
      <c r="I1538" s="60"/>
      <c r="J1538" s="60"/>
      <c r="K1538" s="60"/>
      <c r="L1538" s="60"/>
      <c r="M1538" s="60"/>
    </row>
    <row r="1539">
      <c r="A1539" s="129"/>
      <c r="B1539" s="130"/>
      <c r="C1539" s="60"/>
      <c r="D1539" s="60"/>
      <c r="E1539" s="60"/>
      <c r="F1539" s="130"/>
      <c r="G1539" s="60"/>
      <c r="H1539" s="130"/>
      <c r="I1539" s="60"/>
      <c r="J1539" s="60"/>
      <c r="K1539" s="60"/>
      <c r="L1539" s="60"/>
      <c r="M1539" s="60"/>
    </row>
    <row r="1540">
      <c r="A1540" s="129"/>
      <c r="B1540" s="130"/>
      <c r="C1540" s="60"/>
      <c r="D1540" s="60"/>
      <c r="E1540" s="60"/>
      <c r="F1540" s="130"/>
      <c r="G1540" s="60"/>
      <c r="H1540" s="130"/>
      <c r="I1540" s="60"/>
      <c r="J1540" s="60"/>
      <c r="K1540" s="60"/>
      <c r="L1540" s="60"/>
      <c r="M1540" s="60"/>
    </row>
    <row r="1541">
      <c r="A1541" s="129"/>
      <c r="B1541" s="130"/>
      <c r="C1541" s="60"/>
      <c r="D1541" s="60"/>
      <c r="E1541" s="60"/>
      <c r="F1541" s="130"/>
      <c r="G1541" s="60"/>
      <c r="H1541" s="130"/>
      <c r="I1541" s="60"/>
      <c r="J1541" s="60"/>
      <c r="K1541" s="60"/>
      <c r="L1541" s="60"/>
      <c r="M1541" s="60"/>
    </row>
    <row r="1542">
      <c r="A1542" s="129"/>
      <c r="B1542" s="130"/>
      <c r="C1542" s="60"/>
      <c r="D1542" s="60"/>
      <c r="E1542" s="60"/>
      <c r="F1542" s="130"/>
      <c r="G1542" s="60"/>
      <c r="H1542" s="130"/>
      <c r="I1542" s="60"/>
      <c r="J1542" s="60"/>
      <c r="K1542" s="60"/>
      <c r="L1542" s="60"/>
      <c r="M1542" s="60"/>
    </row>
    <row r="1543">
      <c r="A1543" s="129"/>
      <c r="B1543" s="130"/>
      <c r="C1543" s="60"/>
      <c r="D1543" s="60"/>
      <c r="E1543" s="60"/>
      <c r="F1543" s="130"/>
      <c r="G1543" s="60"/>
      <c r="H1543" s="130"/>
      <c r="I1543" s="60"/>
      <c r="J1543" s="60"/>
      <c r="K1543" s="60"/>
      <c r="L1543" s="60"/>
      <c r="M1543" s="60"/>
    </row>
    <row r="1544">
      <c r="A1544" s="129"/>
      <c r="B1544" s="130"/>
      <c r="C1544" s="60"/>
      <c r="D1544" s="60"/>
      <c r="E1544" s="60"/>
      <c r="F1544" s="130"/>
      <c r="G1544" s="60"/>
      <c r="H1544" s="130"/>
      <c r="I1544" s="60"/>
      <c r="J1544" s="60"/>
      <c r="K1544" s="60"/>
      <c r="L1544" s="60"/>
      <c r="M1544" s="60"/>
    </row>
    <row r="1545">
      <c r="A1545" s="129"/>
      <c r="B1545" s="130"/>
      <c r="C1545" s="60"/>
      <c r="D1545" s="60"/>
      <c r="E1545" s="60"/>
      <c r="F1545" s="130"/>
      <c r="G1545" s="60"/>
      <c r="H1545" s="130"/>
      <c r="I1545" s="60"/>
      <c r="J1545" s="60"/>
      <c r="K1545" s="60"/>
      <c r="L1545" s="60"/>
      <c r="M1545" s="60"/>
    </row>
    <row r="1546">
      <c r="A1546" s="129"/>
      <c r="B1546" s="130"/>
      <c r="C1546" s="60"/>
      <c r="D1546" s="60"/>
      <c r="E1546" s="60"/>
      <c r="F1546" s="130"/>
      <c r="G1546" s="60"/>
      <c r="H1546" s="130"/>
      <c r="I1546" s="60"/>
      <c r="J1546" s="60"/>
      <c r="K1546" s="60"/>
      <c r="L1546" s="60"/>
      <c r="M1546" s="60"/>
    </row>
    <row r="1547">
      <c r="A1547" s="129"/>
      <c r="B1547" s="130"/>
      <c r="C1547" s="60"/>
      <c r="D1547" s="60"/>
      <c r="E1547" s="60"/>
      <c r="F1547" s="130"/>
      <c r="G1547" s="60"/>
      <c r="H1547" s="130"/>
      <c r="I1547" s="60"/>
      <c r="J1547" s="60"/>
      <c r="K1547" s="60"/>
      <c r="L1547" s="60"/>
      <c r="M1547" s="60"/>
    </row>
    <row r="1548">
      <c r="A1548" s="129"/>
      <c r="B1548" s="130"/>
      <c r="C1548" s="60"/>
      <c r="D1548" s="60"/>
      <c r="E1548" s="60"/>
      <c r="F1548" s="130"/>
      <c r="G1548" s="60"/>
      <c r="H1548" s="130"/>
      <c r="I1548" s="60"/>
      <c r="J1548" s="60"/>
      <c r="K1548" s="60"/>
      <c r="L1548" s="60"/>
      <c r="M1548" s="60"/>
    </row>
    <row r="1549">
      <c r="A1549" s="129"/>
      <c r="B1549" s="130"/>
      <c r="C1549" s="60"/>
      <c r="D1549" s="60"/>
      <c r="E1549" s="60"/>
      <c r="F1549" s="130"/>
      <c r="G1549" s="60"/>
      <c r="H1549" s="130"/>
      <c r="I1549" s="60"/>
      <c r="J1549" s="60"/>
      <c r="K1549" s="60"/>
      <c r="L1549" s="60"/>
      <c r="M1549" s="60"/>
    </row>
    <row r="1550">
      <c r="A1550" s="129"/>
      <c r="B1550" s="130"/>
      <c r="C1550" s="60"/>
      <c r="D1550" s="60"/>
      <c r="E1550" s="60"/>
      <c r="F1550" s="130"/>
      <c r="G1550" s="60"/>
      <c r="H1550" s="130"/>
      <c r="I1550" s="60"/>
      <c r="J1550" s="60"/>
      <c r="K1550" s="60"/>
      <c r="L1550" s="60"/>
      <c r="M1550" s="60"/>
    </row>
    <row r="1551">
      <c r="A1551" s="129"/>
      <c r="B1551" s="130"/>
      <c r="C1551" s="60"/>
      <c r="D1551" s="60"/>
      <c r="E1551" s="60"/>
      <c r="F1551" s="130"/>
      <c r="G1551" s="60"/>
      <c r="H1551" s="130"/>
      <c r="I1551" s="60"/>
      <c r="J1551" s="60"/>
      <c r="K1551" s="60"/>
      <c r="L1551" s="60"/>
      <c r="M1551" s="60"/>
    </row>
    <row r="1552">
      <c r="A1552" s="129"/>
      <c r="B1552" s="130"/>
      <c r="C1552" s="60"/>
      <c r="D1552" s="60"/>
      <c r="E1552" s="60"/>
      <c r="F1552" s="130"/>
      <c r="G1552" s="60"/>
      <c r="H1552" s="130"/>
      <c r="I1552" s="60"/>
      <c r="J1552" s="60"/>
      <c r="K1552" s="60"/>
      <c r="L1552" s="60"/>
      <c r="M1552" s="60"/>
    </row>
    <row r="1553">
      <c r="A1553" s="129"/>
      <c r="B1553" s="130"/>
      <c r="C1553" s="60"/>
      <c r="D1553" s="60"/>
      <c r="E1553" s="60"/>
      <c r="F1553" s="130"/>
      <c r="G1553" s="60"/>
      <c r="H1553" s="130"/>
      <c r="I1553" s="60"/>
      <c r="J1553" s="60"/>
      <c r="K1553" s="60"/>
      <c r="L1553" s="60"/>
      <c r="M1553" s="60"/>
    </row>
    <row r="1554">
      <c r="A1554" s="129"/>
      <c r="B1554" s="130"/>
      <c r="C1554" s="60"/>
      <c r="D1554" s="60"/>
      <c r="E1554" s="60"/>
      <c r="F1554" s="130"/>
      <c r="G1554" s="60"/>
      <c r="H1554" s="130"/>
      <c r="I1554" s="60"/>
      <c r="J1554" s="60"/>
      <c r="K1554" s="60"/>
      <c r="L1554" s="60"/>
      <c r="M1554" s="60"/>
    </row>
    <row r="1555">
      <c r="A1555" s="129"/>
      <c r="B1555" s="130"/>
      <c r="C1555" s="60"/>
      <c r="D1555" s="60"/>
      <c r="E1555" s="60"/>
      <c r="F1555" s="130"/>
      <c r="G1555" s="60"/>
      <c r="H1555" s="130"/>
      <c r="I1555" s="60"/>
      <c r="J1555" s="60"/>
      <c r="K1555" s="60"/>
      <c r="L1555" s="60"/>
      <c r="M1555" s="60"/>
    </row>
    <row r="1556">
      <c r="A1556" s="129"/>
      <c r="B1556" s="130"/>
      <c r="C1556" s="60"/>
      <c r="D1556" s="60"/>
      <c r="E1556" s="60"/>
      <c r="F1556" s="130"/>
      <c r="G1556" s="60"/>
      <c r="H1556" s="130"/>
      <c r="I1556" s="60"/>
      <c r="J1556" s="60"/>
      <c r="K1556" s="60"/>
      <c r="L1556" s="60"/>
      <c r="M1556" s="60"/>
    </row>
    <row r="1557">
      <c r="A1557" s="129"/>
      <c r="B1557" s="130"/>
      <c r="C1557" s="60"/>
      <c r="D1557" s="60"/>
      <c r="E1557" s="60"/>
      <c r="F1557" s="130"/>
      <c r="G1557" s="60"/>
      <c r="H1557" s="130"/>
      <c r="I1557" s="60"/>
      <c r="J1557" s="60"/>
      <c r="K1557" s="60"/>
      <c r="L1557" s="60"/>
      <c r="M1557" s="60"/>
    </row>
    <row r="1558">
      <c r="A1558" s="129"/>
      <c r="B1558" s="130"/>
      <c r="C1558" s="60"/>
      <c r="D1558" s="60"/>
      <c r="E1558" s="60"/>
      <c r="F1558" s="130"/>
      <c r="G1558" s="60"/>
      <c r="H1558" s="130"/>
      <c r="I1558" s="60"/>
      <c r="J1558" s="60"/>
      <c r="K1558" s="60"/>
      <c r="L1558" s="60"/>
      <c r="M1558" s="60"/>
    </row>
    <row r="1559">
      <c r="A1559" s="129"/>
      <c r="B1559" s="130"/>
      <c r="C1559" s="60"/>
      <c r="D1559" s="60"/>
      <c r="E1559" s="60"/>
      <c r="F1559" s="130"/>
      <c r="G1559" s="60"/>
      <c r="H1559" s="130"/>
      <c r="I1559" s="60"/>
      <c r="J1559" s="60"/>
      <c r="K1559" s="60"/>
      <c r="L1559" s="60"/>
      <c r="M1559" s="60"/>
    </row>
    <row r="1560">
      <c r="A1560" s="129"/>
      <c r="B1560" s="130"/>
      <c r="C1560" s="60"/>
      <c r="D1560" s="60"/>
      <c r="E1560" s="60"/>
      <c r="F1560" s="130"/>
      <c r="G1560" s="60"/>
      <c r="H1560" s="130"/>
      <c r="I1560" s="60"/>
      <c r="J1560" s="60"/>
      <c r="K1560" s="60"/>
      <c r="L1560" s="60"/>
      <c r="M1560" s="60"/>
    </row>
    <row r="1561">
      <c r="A1561" s="129"/>
      <c r="B1561" s="130"/>
      <c r="C1561" s="60"/>
      <c r="D1561" s="60"/>
      <c r="E1561" s="60"/>
      <c r="F1561" s="130"/>
      <c r="G1561" s="60"/>
      <c r="H1561" s="130"/>
      <c r="I1561" s="60"/>
      <c r="J1561" s="60"/>
      <c r="K1561" s="60"/>
      <c r="L1561" s="60"/>
      <c r="M1561" s="60"/>
    </row>
    <row r="1562">
      <c r="A1562" s="129"/>
      <c r="B1562" s="130"/>
      <c r="C1562" s="60"/>
      <c r="D1562" s="60"/>
      <c r="E1562" s="60"/>
      <c r="F1562" s="130"/>
      <c r="G1562" s="60"/>
      <c r="H1562" s="130"/>
      <c r="I1562" s="60"/>
      <c r="J1562" s="60"/>
      <c r="K1562" s="60"/>
      <c r="L1562" s="60"/>
      <c r="M1562" s="60"/>
    </row>
    <row r="1563">
      <c r="A1563" s="129"/>
      <c r="B1563" s="130"/>
      <c r="C1563" s="60"/>
      <c r="D1563" s="60"/>
      <c r="E1563" s="60"/>
      <c r="F1563" s="130"/>
      <c r="G1563" s="60"/>
      <c r="H1563" s="130"/>
      <c r="I1563" s="60"/>
      <c r="J1563" s="60"/>
      <c r="K1563" s="60"/>
      <c r="L1563" s="60"/>
      <c r="M1563" s="60"/>
    </row>
    <row r="1564">
      <c r="A1564" s="129"/>
      <c r="B1564" s="130"/>
      <c r="C1564" s="60"/>
      <c r="D1564" s="60"/>
      <c r="E1564" s="60"/>
      <c r="F1564" s="130"/>
      <c r="G1564" s="60"/>
      <c r="H1564" s="130"/>
      <c r="I1564" s="60"/>
      <c r="J1564" s="60"/>
      <c r="K1564" s="60"/>
      <c r="L1564" s="60"/>
      <c r="M1564" s="60"/>
    </row>
    <row r="1565">
      <c r="A1565" s="129"/>
      <c r="B1565" s="130"/>
      <c r="C1565" s="60"/>
      <c r="D1565" s="60"/>
      <c r="E1565" s="60"/>
      <c r="F1565" s="130"/>
      <c r="G1565" s="60"/>
      <c r="H1565" s="130"/>
      <c r="I1565" s="60"/>
      <c r="J1565" s="60"/>
      <c r="K1565" s="60"/>
      <c r="L1565" s="60"/>
      <c r="M1565" s="60"/>
    </row>
    <row r="1566">
      <c r="A1566" s="129"/>
      <c r="B1566" s="130"/>
      <c r="C1566" s="60"/>
      <c r="D1566" s="60"/>
      <c r="E1566" s="60"/>
      <c r="F1566" s="130"/>
      <c r="G1566" s="60"/>
      <c r="H1566" s="130"/>
      <c r="I1566" s="60"/>
      <c r="J1566" s="60"/>
      <c r="K1566" s="60"/>
      <c r="L1566" s="60"/>
      <c r="M1566" s="60"/>
    </row>
    <row r="1567">
      <c r="A1567" s="129"/>
      <c r="B1567" s="130"/>
      <c r="C1567" s="60"/>
      <c r="D1567" s="60"/>
      <c r="E1567" s="60"/>
      <c r="F1567" s="130"/>
      <c r="G1567" s="60"/>
      <c r="H1567" s="130"/>
      <c r="I1567" s="60"/>
      <c r="J1567" s="60"/>
      <c r="K1567" s="60"/>
      <c r="L1567" s="60"/>
      <c r="M1567" s="60"/>
    </row>
    <row r="1568">
      <c r="A1568" s="129"/>
      <c r="B1568" s="130"/>
      <c r="C1568" s="60"/>
      <c r="D1568" s="60"/>
      <c r="E1568" s="60"/>
      <c r="F1568" s="130"/>
      <c r="G1568" s="60"/>
      <c r="H1568" s="130"/>
      <c r="I1568" s="60"/>
      <c r="J1568" s="60"/>
      <c r="K1568" s="60"/>
      <c r="L1568" s="60"/>
      <c r="M1568" s="60"/>
    </row>
    <row r="1569">
      <c r="A1569" s="129"/>
      <c r="B1569" s="130"/>
      <c r="C1569" s="60"/>
      <c r="D1569" s="60"/>
      <c r="E1569" s="60"/>
      <c r="F1569" s="130"/>
      <c r="G1569" s="60"/>
      <c r="H1569" s="130"/>
      <c r="I1569" s="60"/>
      <c r="J1569" s="60"/>
      <c r="K1569" s="60"/>
      <c r="L1569" s="60"/>
      <c r="M1569" s="60"/>
    </row>
    <row r="1570">
      <c r="A1570" s="129"/>
      <c r="B1570" s="130"/>
      <c r="C1570" s="60"/>
      <c r="D1570" s="60"/>
      <c r="E1570" s="60"/>
      <c r="F1570" s="130"/>
      <c r="G1570" s="60"/>
      <c r="H1570" s="130"/>
      <c r="I1570" s="60"/>
      <c r="J1570" s="60"/>
      <c r="K1570" s="60"/>
      <c r="L1570" s="60"/>
      <c r="M1570" s="60"/>
    </row>
    <row r="1571">
      <c r="A1571" s="129"/>
      <c r="B1571" s="130"/>
      <c r="C1571" s="60"/>
      <c r="D1571" s="60"/>
      <c r="E1571" s="60"/>
      <c r="F1571" s="130"/>
      <c r="G1571" s="60"/>
      <c r="H1571" s="130"/>
      <c r="I1571" s="60"/>
      <c r="J1571" s="60"/>
      <c r="K1571" s="60"/>
      <c r="L1571" s="60"/>
      <c r="M1571" s="60"/>
    </row>
    <row r="1572">
      <c r="A1572" s="129"/>
      <c r="B1572" s="130"/>
      <c r="C1572" s="60"/>
      <c r="D1572" s="60"/>
      <c r="E1572" s="60"/>
      <c r="F1572" s="130"/>
      <c r="G1572" s="60"/>
      <c r="H1572" s="130"/>
      <c r="I1572" s="60"/>
      <c r="J1572" s="60"/>
      <c r="K1572" s="60"/>
      <c r="L1572" s="60"/>
      <c r="M1572" s="60"/>
    </row>
    <row r="1573">
      <c r="A1573" s="129"/>
      <c r="B1573" s="130"/>
      <c r="C1573" s="60"/>
      <c r="D1573" s="60"/>
      <c r="E1573" s="60"/>
      <c r="F1573" s="130"/>
      <c r="G1573" s="60"/>
      <c r="H1573" s="130"/>
      <c r="I1573" s="60"/>
      <c r="J1573" s="60"/>
      <c r="K1573" s="60"/>
      <c r="L1573" s="60"/>
      <c r="M1573" s="60"/>
    </row>
    <row r="1574">
      <c r="A1574" s="129"/>
      <c r="B1574" s="130"/>
      <c r="C1574" s="60"/>
      <c r="D1574" s="60"/>
      <c r="E1574" s="60"/>
      <c r="F1574" s="130"/>
      <c r="G1574" s="60"/>
      <c r="H1574" s="130"/>
      <c r="I1574" s="60"/>
      <c r="J1574" s="60"/>
      <c r="K1574" s="60"/>
      <c r="L1574" s="60"/>
      <c r="M1574" s="60"/>
    </row>
    <row r="1575">
      <c r="A1575" s="129"/>
      <c r="B1575" s="130"/>
      <c r="C1575" s="60"/>
      <c r="D1575" s="60"/>
      <c r="E1575" s="60"/>
      <c r="F1575" s="130"/>
      <c r="G1575" s="60"/>
      <c r="H1575" s="130"/>
      <c r="I1575" s="60"/>
      <c r="J1575" s="60"/>
      <c r="K1575" s="60"/>
      <c r="L1575" s="60"/>
      <c r="M1575" s="60"/>
    </row>
    <row r="1576">
      <c r="A1576" s="129"/>
      <c r="B1576" s="130"/>
      <c r="C1576" s="60"/>
      <c r="D1576" s="60"/>
      <c r="E1576" s="60"/>
      <c r="F1576" s="130"/>
      <c r="G1576" s="60"/>
      <c r="H1576" s="130"/>
      <c r="I1576" s="60"/>
      <c r="J1576" s="60"/>
      <c r="K1576" s="60"/>
      <c r="L1576" s="60"/>
      <c r="M1576" s="60"/>
    </row>
    <row r="1577">
      <c r="A1577" s="129"/>
      <c r="B1577" s="130"/>
      <c r="C1577" s="60"/>
      <c r="D1577" s="60"/>
      <c r="E1577" s="60"/>
      <c r="F1577" s="130"/>
      <c r="G1577" s="60"/>
      <c r="H1577" s="130"/>
      <c r="I1577" s="60"/>
      <c r="J1577" s="60"/>
      <c r="K1577" s="60"/>
      <c r="L1577" s="60"/>
      <c r="M1577" s="60"/>
    </row>
    <row r="1578">
      <c r="A1578" s="129"/>
      <c r="B1578" s="130"/>
      <c r="C1578" s="60"/>
      <c r="D1578" s="60"/>
      <c r="E1578" s="60"/>
      <c r="F1578" s="130"/>
      <c r="G1578" s="60"/>
      <c r="H1578" s="130"/>
      <c r="I1578" s="60"/>
      <c r="J1578" s="60"/>
      <c r="K1578" s="60"/>
      <c r="L1578" s="60"/>
      <c r="M1578" s="60"/>
    </row>
    <row r="1579">
      <c r="A1579" s="129"/>
      <c r="B1579" s="130"/>
      <c r="C1579" s="60"/>
      <c r="D1579" s="60"/>
      <c r="E1579" s="60"/>
      <c r="F1579" s="130"/>
      <c r="G1579" s="60"/>
      <c r="H1579" s="130"/>
      <c r="I1579" s="60"/>
      <c r="J1579" s="60"/>
      <c r="K1579" s="60"/>
      <c r="L1579" s="60"/>
      <c r="M1579" s="60"/>
    </row>
    <row r="1580">
      <c r="A1580" s="129"/>
      <c r="B1580" s="130"/>
      <c r="C1580" s="60"/>
      <c r="D1580" s="60"/>
      <c r="E1580" s="60"/>
      <c r="F1580" s="130"/>
      <c r="G1580" s="60"/>
      <c r="H1580" s="130"/>
      <c r="I1580" s="60"/>
      <c r="J1580" s="60"/>
      <c r="K1580" s="60"/>
      <c r="L1580" s="60"/>
      <c r="M1580" s="60"/>
    </row>
    <row r="1581">
      <c r="A1581" s="129"/>
      <c r="B1581" s="130"/>
      <c r="C1581" s="60"/>
      <c r="D1581" s="60"/>
      <c r="E1581" s="60"/>
      <c r="F1581" s="130"/>
      <c r="G1581" s="60"/>
      <c r="H1581" s="130"/>
      <c r="I1581" s="60"/>
      <c r="J1581" s="60"/>
      <c r="K1581" s="60"/>
      <c r="L1581" s="60"/>
      <c r="M1581" s="60"/>
    </row>
    <row r="1582">
      <c r="A1582" s="129"/>
      <c r="B1582" s="130"/>
      <c r="C1582" s="60"/>
      <c r="D1582" s="60"/>
      <c r="E1582" s="60"/>
      <c r="F1582" s="130"/>
      <c r="G1582" s="60"/>
      <c r="H1582" s="130"/>
      <c r="I1582" s="60"/>
      <c r="J1582" s="60"/>
      <c r="K1582" s="60"/>
      <c r="L1582" s="60"/>
      <c r="M1582" s="60"/>
    </row>
    <row r="1583">
      <c r="A1583" s="129"/>
      <c r="B1583" s="130"/>
      <c r="C1583" s="60"/>
      <c r="D1583" s="60"/>
      <c r="E1583" s="60"/>
      <c r="F1583" s="130"/>
      <c r="G1583" s="60"/>
      <c r="H1583" s="130"/>
      <c r="I1583" s="60"/>
      <c r="J1583" s="60"/>
      <c r="K1583" s="60"/>
      <c r="L1583" s="60"/>
      <c r="M1583" s="60"/>
    </row>
    <row r="1584">
      <c r="A1584" s="129"/>
      <c r="B1584" s="130"/>
      <c r="C1584" s="60"/>
      <c r="D1584" s="60"/>
      <c r="E1584" s="60"/>
      <c r="F1584" s="130"/>
      <c r="G1584" s="60"/>
      <c r="H1584" s="130"/>
      <c r="I1584" s="60"/>
      <c r="J1584" s="60"/>
      <c r="K1584" s="60"/>
      <c r="L1584" s="60"/>
      <c r="M1584" s="60"/>
    </row>
    <row r="1585">
      <c r="A1585" s="129"/>
      <c r="B1585" s="130"/>
      <c r="C1585" s="60"/>
      <c r="D1585" s="60"/>
      <c r="E1585" s="60"/>
      <c r="F1585" s="130"/>
      <c r="G1585" s="60"/>
      <c r="H1585" s="130"/>
      <c r="I1585" s="60"/>
      <c r="J1585" s="60"/>
      <c r="K1585" s="60"/>
      <c r="L1585" s="60"/>
      <c r="M1585" s="60"/>
    </row>
    <row r="1586">
      <c r="A1586" s="129"/>
      <c r="B1586" s="130"/>
      <c r="C1586" s="60"/>
      <c r="D1586" s="60"/>
      <c r="E1586" s="60"/>
      <c r="F1586" s="130"/>
      <c r="G1586" s="60"/>
      <c r="H1586" s="130"/>
      <c r="I1586" s="60"/>
      <c r="J1586" s="60"/>
      <c r="K1586" s="60"/>
      <c r="L1586" s="60"/>
      <c r="M1586" s="60"/>
    </row>
    <row r="1587">
      <c r="A1587" s="129"/>
      <c r="B1587" s="130"/>
      <c r="C1587" s="60"/>
      <c r="D1587" s="60"/>
      <c r="E1587" s="60"/>
      <c r="F1587" s="130"/>
      <c r="G1587" s="60"/>
      <c r="H1587" s="130"/>
      <c r="I1587" s="60"/>
      <c r="J1587" s="60"/>
      <c r="K1587" s="60"/>
      <c r="L1587" s="60"/>
      <c r="M1587" s="60"/>
    </row>
    <row r="1588">
      <c r="A1588" s="129"/>
      <c r="B1588" s="130"/>
      <c r="C1588" s="60"/>
      <c r="D1588" s="60"/>
      <c r="E1588" s="60"/>
      <c r="F1588" s="130"/>
      <c r="G1588" s="60"/>
      <c r="H1588" s="130"/>
      <c r="I1588" s="60"/>
      <c r="J1588" s="60"/>
      <c r="K1588" s="60"/>
      <c r="L1588" s="60"/>
      <c r="M1588" s="60"/>
    </row>
    <row r="1589">
      <c r="A1589" s="129"/>
      <c r="B1589" s="130"/>
      <c r="C1589" s="60"/>
      <c r="D1589" s="60"/>
      <c r="E1589" s="60"/>
      <c r="F1589" s="130"/>
      <c r="G1589" s="60"/>
      <c r="H1589" s="130"/>
      <c r="I1589" s="60"/>
      <c r="J1589" s="60"/>
      <c r="K1589" s="60"/>
      <c r="L1589" s="60"/>
      <c r="M1589" s="60"/>
    </row>
    <row r="1590">
      <c r="A1590" s="129"/>
      <c r="B1590" s="130"/>
      <c r="C1590" s="60"/>
      <c r="D1590" s="60"/>
      <c r="E1590" s="60"/>
      <c r="F1590" s="130"/>
      <c r="G1590" s="60"/>
      <c r="H1590" s="130"/>
      <c r="I1590" s="60"/>
      <c r="J1590" s="60"/>
      <c r="K1590" s="60"/>
      <c r="L1590" s="60"/>
      <c r="M1590" s="60"/>
    </row>
    <row r="1591">
      <c r="A1591" s="129"/>
      <c r="B1591" s="130"/>
      <c r="C1591" s="60"/>
      <c r="D1591" s="60"/>
      <c r="E1591" s="60"/>
      <c r="F1591" s="130"/>
      <c r="G1591" s="60"/>
      <c r="H1591" s="130"/>
      <c r="I1591" s="60"/>
      <c r="J1591" s="60"/>
      <c r="K1591" s="60"/>
      <c r="L1591" s="60"/>
      <c r="M1591" s="60"/>
    </row>
    <row r="1592">
      <c r="A1592" s="129"/>
      <c r="B1592" s="130"/>
      <c r="C1592" s="60"/>
      <c r="D1592" s="60"/>
      <c r="E1592" s="60"/>
      <c r="F1592" s="130"/>
      <c r="G1592" s="60"/>
      <c r="H1592" s="130"/>
      <c r="I1592" s="60"/>
      <c r="J1592" s="60"/>
      <c r="K1592" s="60"/>
      <c r="L1592" s="60"/>
      <c r="M1592" s="60"/>
    </row>
    <row r="1593">
      <c r="A1593" s="129"/>
      <c r="B1593" s="130"/>
      <c r="C1593" s="60"/>
      <c r="D1593" s="60"/>
      <c r="E1593" s="60"/>
      <c r="F1593" s="130"/>
      <c r="G1593" s="60"/>
      <c r="H1593" s="130"/>
      <c r="I1593" s="60"/>
      <c r="J1593" s="60"/>
      <c r="K1593" s="60"/>
      <c r="L1593" s="60"/>
      <c r="M1593" s="60"/>
    </row>
    <row r="1594">
      <c r="A1594" s="129"/>
      <c r="B1594" s="130"/>
      <c r="C1594" s="60"/>
      <c r="D1594" s="60"/>
      <c r="E1594" s="60"/>
      <c r="F1594" s="130"/>
      <c r="G1594" s="60"/>
      <c r="H1594" s="130"/>
      <c r="I1594" s="60"/>
      <c r="J1594" s="60"/>
      <c r="K1594" s="60"/>
      <c r="L1594" s="60"/>
      <c r="M1594" s="60"/>
    </row>
    <row r="1595">
      <c r="A1595" s="129"/>
      <c r="B1595" s="130"/>
      <c r="C1595" s="60"/>
      <c r="D1595" s="60"/>
      <c r="E1595" s="60"/>
      <c r="F1595" s="130"/>
      <c r="G1595" s="60"/>
      <c r="H1595" s="130"/>
      <c r="I1595" s="60"/>
      <c r="J1595" s="60"/>
      <c r="K1595" s="60"/>
      <c r="L1595" s="60"/>
      <c r="M1595" s="60"/>
    </row>
    <row r="1596">
      <c r="A1596" s="129"/>
      <c r="B1596" s="130"/>
      <c r="C1596" s="60"/>
      <c r="D1596" s="60"/>
      <c r="E1596" s="60"/>
      <c r="F1596" s="130"/>
      <c r="G1596" s="60"/>
      <c r="H1596" s="130"/>
      <c r="I1596" s="60"/>
      <c r="J1596" s="60"/>
      <c r="K1596" s="60"/>
      <c r="L1596" s="60"/>
      <c r="M1596" s="60"/>
    </row>
    <row r="1597">
      <c r="A1597" s="129"/>
      <c r="B1597" s="130"/>
      <c r="C1597" s="60"/>
      <c r="D1597" s="60"/>
      <c r="E1597" s="60"/>
      <c r="F1597" s="130"/>
      <c r="G1597" s="60"/>
      <c r="H1597" s="130"/>
      <c r="I1597" s="60"/>
      <c r="J1597" s="60"/>
      <c r="K1597" s="60"/>
      <c r="L1597" s="60"/>
      <c r="M1597" s="60"/>
    </row>
    <row r="1598">
      <c r="A1598" s="129"/>
      <c r="B1598" s="130"/>
      <c r="C1598" s="60"/>
      <c r="D1598" s="60"/>
      <c r="E1598" s="60"/>
      <c r="F1598" s="130"/>
      <c r="G1598" s="60"/>
      <c r="H1598" s="130"/>
      <c r="I1598" s="60"/>
      <c r="J1598" s="60"/>
      <c r="K1598" s="60"/>
      <c r="L1598" s="60"/>
      <c r="M1598" s="60"/>
    </row>
    <row r="1599">
      <c r="A1599" s="129"/>
      <c r="B1599" s="130"/>
      <c r="C1599" s="60"/>
      <c r="D1599" s="60"/>
      <c r="E1599" s="60"/>
      <c r="F1599" s="130"/>
      <c r="G1599" s="60"/>
      <c r="H1599" s="130"/>
      <c r="I1599" s="60"/>
      <c r="J1599" s="60"/>
      <c r="K1599" s="60"/>
      <c r="L1599" s="60"/>
      <c r="M1599" s="60"/>
    </row>
    <row r="1600">
      <c r="A1600" s="129"/>
      <c r="B1600" s="130"/>
      <c r="C1600" s="60"/>
      <c r="D1600" s="60"/>
      <c r="E1600" s="60"/>
      <c r="F1600" s="130"/>
      <c r="G1600" s="60"/>
      <c r="H1600" s="130"/>
      <c r="I1600" s="60"/>
      <c r="J1600" s="60"/>
      <c r="K1600" s="60"/>
      <c r="L1600" s="60"/>
      <c r="M1600" s="60"/>
    </row>
    <row r="1601">
      <c r="A1601" s="129"/>
      <c r="B1601" s="130"/>
      <c r="C1601" s="60"/>
      <c r="D1601" s="60"/>
      <c r="E1601" s="60"/>
      <c r="F1601" s="130"/>
      <c r="G1601" s="60"/>
      <c r="H1601" s="130"/>
      <c r="I1601" s="60"/>
      <c r="J1601" s="60"/>
      <c r="K1601" s="60"/>
      <c r="L1601" s="60"/>
      <c r="M1601" s="60"/>
    </row>
    <row r="1602">
      <c r="A1602" s="129"/>
      <c r="B1602" s="130"/>
      <c r="C1602" s="60"/>
      <c r="D1602" s="60"/>
      <c r="E1602" s="60"/>
      <c r="F1602" s="130"/>
      <c r="G1602" s="60"/>
      <c r="H1602" s="130"/>
      <c r="I1602" s="60"/>
      <c r="J1602" s="60"/>
      <c r="K1602" s="60"/>
      <c r="L1602" s="60"/>
      <c r="M1602" s="60"/>
    </row>
    <row r="1603">
      <c r="A1603" s="129"/>
      <c r="B1603" s="130"/>
      <c r="C1603" s="60"/>
      <c r="D1603" s="60"/>
      <c r="E1603" s="60"/>
      <c r="F1603" s="130"/>
      <c r="G1603" s="60"/>
      <c r="H1603" s="130"/>
      <c r="I1603" s="60"/>
      <c r="J1603" s="60"/>
      <c r="K1603" s="60"/>
      <c r="L1603" s="60"/>
      <c r="M1603" s="60"/>
    </row>
    <row r="1604">
      <c r="A1604" s="129"/>
      <c r="B1604" s="130"/>
      <c r="C1604" s="60"/>
      <c r="D1604" s="60"/>
      <c r="E1604" s="60"/>
      <c r="F1604" s="130"/>
      <c r="G1604" s="60"/>
      <c r="H1604" s="130"/>
      <c r="I1604" s="60"/>
      <c r="J1604" s="60"/>
      <c r="K1604" s="60"/>
      <c r="L1604" s="60"/>
      <c r="M1604" s="60"/>
    </row>
    <row r="1605">
      <c r="A1605" s="129"/>
      <c r="B1605" s="130"/>
      <c r="C1605" s="60"/>
      <c r="D1605" s="60"/>
      <c r="E1605" s="60"/>
      <c r="F1605" s="130"/>
      <c r="G1605" s="60"/>
      <c r="H1605" s="130"/>
      <c r="I1605" s="60"/>
      <c r="J1605" s="60"/>
      <c r="K1605" s="60"/>
      <c r="L1605" s="60"/>
      <c r="M1605" s="60"/>
    </row>
    <row r="1606">
      <c r="A1606" s="129"/>
      <c r="B1606" s="130"/>
      <c r="C1606" s="60"/>
      <c r="D1606" s="60"/>
      <c r="E1606" s="60"/>
      <c r="F1606" s="130"/>
      <c r="G1606" s="60"/>
      <c r="H1606" s="130"/>
      <c r="I1606" s="60"/>
      <c r="J1606" s="60"/>
      <c r="K1606" s="60"/>
      <c r="L1606" s="60"/>
      <c r="M1606" s="60"/>
    </row>
    <row r="1607">
      <c r="A1607" s="129"/>
      <c r="B1607" s="130"/>
      <c r="C1607" s="60"/>
      <c r="D1607" s="60"/>
      <c r="E1607" s="60"/>
      <c r="F1607" s="130"/>
      <c r="G1607" s="60"/>
      <c r="H1607" s="130"/>
      <c r="I1607" s="60"/>
      <c r="J1607" s="60"/>
      <c r="K1607" s="60"/>
      <c r="L1607" s="60"/>
      <c r="M1607" s="60"/>
    </row>
    <row r="1608">
      <c r="A1608" s="129"/>
      <c r="B1608" s="130"/>
      <c r="C1608" s="60"/>
      <c r="D1608" s="60"/>
      <c r="E1608" s="60"/>
      <c r="F1608" s="130"/>
      <c r="G1608" s="60"/>
      <c r="H1608" s="130"/>
      <c r="I1608" s="60"/>
      <c r="J1608" s="60"/>
      <c r="K1608" s="60"/>
      <c r="L1608" s="60"/>
      <c r="M1608" s="60"/>
    </row>
    <row r="1609">
      <c r="A1609" s="129"/>
      <c r="B1609" s="130"/>
      <c r="C1609" s="60"/>
      <c r="D1609" s="60"/>
      <c r="E1609" s="60"/>
      <c r="F1609" s="130"/>
      <c r="G1609" s="60"/>
      <c r="H1609" s="130"/>
      <c r="I1609" s="60"/>
      <c r="J1609" s="60"/>
      <c r="K1609" s="60"/>
      <c r="L1609" s="60"/>
      <c r="M1609" s="60"/>
    </row>
    <row r="1610">
      <c r="A1610" s="129"/>
      <c r="B1610" s="130"/>
      <c r="C1610" s="60"/>
      <c r="D1610" s="60"/>
      <c r="E1610" s="60"/>
      <c r="F1610" s="130"/>
      <c r="G1610" s="60"/>
      <c r="H1610" s="130"/>
      <c r="I1610" s="60"/>
      <c r="J1610" s="60"/>
      <c r="K1610" s="60"/>
      <c r="L1610" s="60"/>
      <c r="M1610" s="60"/>
    </row>
    <row r="1611">
      <c r="A1611" s="129"/>
      <c r="B1611" s="130"/>
      <c r="C1611" s="60"/>
      <c r="D1611" s="60"/>
      <c r="E1611" s="60"/>
      <c r="F1611" s="130"/>
      <c r="G1611" s="60"/>
      <c r="H1611" s="130"/>
      <c r="I1611" s="60"/>
      <c r="J1611" s="60"/>
      <c r="K1611" s="60"/>
      <c r="L1611" s="60"/>
      <c r="M1611" s="60"/>
    </row>
    <row r="1612">
      <c r="A1612" s="129"/>
      <c r="B1612" s="130"/>
      <c r="C1612" s="60"/>
      <c r="D1612" s="60"/>
      <c r="E1612" s="60"/>
      <c r="F1612" s="130"/>
      <c r="G1612" s="60"/>
      <c r="H1612" s="130"/>
      <c r="I1612" s="60"/>
      <c r="J1612" s="60"/>
      <c r="K1612" s="60"/>
      <c r="L1612" s="60"/>
      <c r="M1612" s="60"/>
    </row>
    <row r="1613">
      <c r="A1613" s="129"/>
      <c r="B1613" s="130"/>
      <c r="C1613" s="60"/>
      <c r="D1613" s="60"/>
      <c r="E1613" s="60"/>
      <c r="F1613" s="130"/>
      <c r="G1613" s="60"/>
      <c r="H1613" s="130"/>
      <c r="I1613" s="60"/>
      <c r="J1613" s="60"/>
      <c r="K1613" s="60"/>
      <c r="L1613" s="60"/>
      <c r="M1613" s="60"/>
    </row>
    <row r="1614">
      <c r="A1614" s="129"/>
      <c r="B1614" s="130"/>
      <c r="C1614" s="60"/>
      <c r="D1614" s="60"/>
      <c r="E1614" s="60"/>
      <c r="F1614" s="130"/>
      <c r="G1614" s="60"/>
      <c r="H1614" s="130"/>
      <c r="I1614" s="60"/>
      <c r="J1614" s="60"/>
      <c r="K1614" s="60"/>
      <c r="L1614" s="60"/>
      <c r="M1614" s="60"/>
    </row>
    <row r="1615">
      <c r="A1615" s="129"/>
      <c r="B1615" s="130"/>
      <c r="C1615" s="60"/>
      <c r="D1615" s="60"/>
      <c r="E1615" s="60"/>
      <c r="F1615" s="130"/>
      <c r="G1615" s="60"/>
      <c r="H1615" s="130"/>
      <c r="I1615" s="60"/>
      <c r="J1615" s="60"/>
      <c r="K1615" s="60"/>
      <c r="L1615" s="60"/>
      <c r="M1615" s="60"/>
    </row>
    <row r="1616">
      <c r="A1616" s="129"/>
      <c r="B1616" s="130"/>
      <c r="C1616" s="60"/>
      <c r="D1616" s="60"/>
      <c r="E1616" s="60"/>
      <c r="F1616" s="130"/>
      <c r="G1616" s="60"/>
      <c r="H1616" s="130"/>
      <c r="I1616" s="60"/>
      <c r="J1616" s="60"/>
      <c r="K1616" s="60"/>
      <c r="L1616" s="60"/>
      <c r="M1616" s="60"/>
    </row>
    <row r="1617">
      <c r="A1617" s="129"/>
      <c r="B1617" s="130"/>
      <c r="C1617" s="60"/>
      <c r="D1617" s="60"/>
      <c r="E1617" s="60"/>
      <c r="F1617" s="130"/>
      <c r="G1617" s="60"/>
      <c r="H1617" s="130"/>
      <c r="I1617" s="60"/>
      <c r="J1617" s="60"/>
      <c r="K1617" s="60"/>
      <c r="L1617" s="60"/>
      <c r="M1617" s="60"/>
    </row>
    <row r="1618">
      <c r="A1618" s="129"/>
      <c r="B1618" s="130"/>
      <c r="C1618" s="60"/>
      <c r="D1618" s="60"/>
      <c r="E1618" s="60"/>
      <c r="F1618" s="130"/>
      <c r="G1618" s="60"/>
      <c r="H1618" s="130"/>
      <c r="I1618" s="60"/>
      <c r="J1618" s="60"/>
      <c r="K1618" s="60"/>
      <c r="L1618" s="60"/>
      <c r="M1618" s="60"/>
    </row>
    <row r="1619">
      <c r="A1619" s="129"/>
      <c r="B1619" s="130"/>
      <c r="C1619" s="60"/>
      <c r="D1619" s="60"/>
      <c r="E1619" s="60"/>
      <c r="F1619" s="130"/>
      <c r="G1619" s="60"/>
      <c r="H1619" s="130"/>
      <c r="I1619" s="60"/>
      <c r="J1619" s="60"/>
      <c r="K1619" s="60"/>
      <c r="L1619" s="60"/>
      <c r="M1619" s="60"/>
    </row>
    <row r="1620">
      <c r="A1620" s="129"/>
      <c r="B1620" s="130"/>
      <c r="C1620" s="60"/>
      <c r="D1620" s="60"/>
      <c r="E1620" s="60"/>
      <c r="F1620" s="130"/>
      <c r="G1620" s="60"/>
      <c r="H1620" s="130"/>
      <c r="I1620" s="60"/>
      <c r="J1620" s="60"/>
      <c r="K1620" s="60"/>
      <c r="L1620" s="60"/>
      <c r="M1620" s="60"/>
    </row>
    <row r="1621">
      <c r="A1621" s="129"/>
      <c r="B1621" s="130"/>
      <c r="C1621" s="60"/>
      <c r="D1621" s="60"/>
      <c r="E1621" s="60"/>
      <c r="F1621" s="130"/>
      <c r="G1621" s="60"/>
      <c r="H1621" s="130"/>
      <c r="I1621" s="60"/>
      <c r="J1621" s="60"/>
      <c r="K1621" s="60"/>
      <c r="L1621" s="60"/>
      <c r="M1621" s="60"/>
    </row>
    <row r="1622">
      <c r="A1622" s="129"/>
      <c r="B1622" s="130"/>
      <c r="C1622" s="60"/>
      <c r="D1622" s="60"/>
      <c r="E1622" s="60"/>
      <c r="F1622" s="130"/>
      <c r="G1622" s="60"/>
      <c r="H1622" s="130"/>
      <c r="I1622" s="60"/>
      <c r="J1622" s="60"/>
      <c r="K1622" s="60"/>
      <c r="L1622" s="60"/>
      <c r="M1622" s="60"/>
    </row>
    <row r="1623">
      <c r="A1623" s="129"/>
      <c r="B1623" s="130"/>
      <c r="C1623" s="60"/>
      <c r="D1623" s="60"/>
      <c r="E1623" s="60"/>
      <c r="F1623" s="130"/>
      <c r="G1623" s="60"/>
      <c r="H1623" s="130"/>
      <c r="I1623" s="60"/>
      <c r="J1623" s="60"/>
      <c r="K1623" s="60"/>
      <c r="L1623" s="60"/>
      <c r="M1623" s="60"/>
    </row>
    <row r="1624">
      <c r="A1624" s="129"/>
      <c r="B1624" s="130"/>
      <c r="C1624" s="60"/>
      <c r="D1624" s="60"/>
      <c r="E1624" s="60"/>
      <c r="F1624" s="130"/>
      <c r="G1624" s="60"/>
      <c r="H1624" s="130"/>
      <c r="I1624" s="60"/>
      <c r="J1624" s="60"/>
      <c r="K1624" s="60"/>
      <c r="L1624" s="60"/>
      <c r="M1624" s="60"/>
    </row>
    <row r="1625">
      <c r="A1625" s="129"/>
      <c r="B1625" s="130"/>
      <c r="C1625" s="60"/>
      <c r="D1625" s="60"/>
      <c r="E1625" s="60"/>
      <c r="F1625" s="130"/>
      <c r="G1625" s="60"/>
      <c r="H1625" s="130"/>
      <c r="I1625" s="60"/>
      <c r="J1625" s="60"/>
      <c r="K1625" s="60"/>
      <c r="L1625" s="60"/>
      <c r="M1625" s="60"/>
    </row>
    <row r="1626">
      <c r="A1626" s="129"/>
      <c r="B1626" s="130"/>
      <c r="C1626" s="60"/>
      <c r="D1626" s="60"/>
      <c r="E1626" s="60"/>
      <c r="F1626" s="130"/>
      <c r="G1626" s="60"/>
      <c r="H1626" s="130"/>
      <c r="I1626" s="60"/>
      <c r="J1626" s="60"/>
      <c r="K1626" s="60"/>
      <c r="L1626" s="60"/>
      <c r="M1626" s="60"/>
    </row>
    <row r="1627">
      <c r="A1627" s="129"/>
      <c r="B1627" s="130"/>
      <c r="C1627" s="60"/>
      <c r="D1627" s="60"/>
      <c r="E1627" s="60"/>
      <c r="F1627" s="130"/>
      <c r="G1627" s="60"/>
      <c r="H1627" s="130"/>
      <c r="I1627" s="60"/>
      <c r="J1627" s="60"/>
      <c r="K1627" s="60"/>
      <c r="L1627" s="60"/>
      <c r="M1627" s="60"/>
    </row>
    <row r="1628">
      <c r="A1628" s="129"/>
      <c r="B1628" s="130"/>
      <c r="C1628" s="60"/>
      <c r="D1628" s="60"/>
      <c r="E1628" s="60"/>
      <c r="F1628" s="130"/>
      <c r="G1628" s="60"/>
      <c r="H1628" s="130"/>
      <c r="I1628" s="60"/>
      <c r="J1628" s="60"/>
      <c r="K1628" s="60"/>
      <c r="L1628" s="60"/>
      <c r="M1628" s="60"/>
    </row>
    <row r="1629">
      <c r="A1629" s="129"/>
      <c r="B1629" s="130"/>
      <c r="C1629" s="60"/>
      <c r="D1629" s="60"/>
      <c r="E1629" s="60"/>
      <c r="F1629" s="130"/>
      <c r="G1629" s="60"/>
      <c r="H1629" s="130"/>
      <c r="I1629" s="60"/>
      <c r="J1629" s="60"/>
      <c r="K1629" s="60"/>
      <c r="L1629" s="60"/>
      <c r="M1629" s="60"/>
    </row>
    <row r="1630">
      <c r="A1630" s="129"/>
      <c r="B1630" s="130"/>
      <c r="C1630" s="60"/>
      <c r="D1630" s="60"/>
      <c r="E1630" s="60"/>
      <c r="F1630" s="130"/>
      <c r="G1630" s="60"/>
      <c r="H1630" s="130"/>
      <c r="I1630" s="60"/>
      <c r="J1630" s="60"/>
      <c r="K1630" s="60"/>
      <c r="L1630" s="60"/>
      <c r="M1630" s="60"/>
    </row>
    <row r="1631">
      <c r="A1631" s="129"/>
      <c r="B1631" s="130"/>
      <c r="C1631" s="60"/>
      <c r="D1631" s="60"/>
      <c r="E1631" s="60"/>
      <c r="F1631" s="130"/>
      <c r="G1631" s="60"/>
      <c r="H1631" s="130"/>
      <c r="I1631" s="60"/>
      <c r="J1631" s="60"/>
      <c r="K1631" s="60"/>
      <c r="L1631" s="60"/>
      <c r="M1631" s="60"/>
    </row>
    <row r="1632">
      <c r="A1632" s="129"/>
      <c r="B1632" s="130"/>
      <c r="C1632" s="60"/>
      <c r="D1632" s="60"/>
      <c r="E1632" s="60"/>
      <c r="F1632" s="130"/>
      <c r="G1632" s="60"/>
      <c r="H1632" s="130"/>
      <c r="I1632" s="60"/>
      <c r="J1632" s="60"/>
      <c r="K1632" s="60"/>
      <c r="L1632" s="60"/>
      <c r="M1632" s="60"/>
    </row>
    <row r="1633">
      <c r="A1633" s="129"/>
      <c r="B1633" s="130"/>
      <c r="C1633" s="60"/>
      <c r="D1633" s="60"/>
      <c r="E1633" s="60"/>
      <c r="F1633" s="130"/>
      <c r="G1633" s="60"/>
      <c r="H1633" s="130"/>
      <c r="I1633" s="60"/>
      <c r="J1633" s="60"/>
      <c r="K1633" s="60"/>
      <c r="L1633" s="60"/>
      <c r="M1633" s="60"/>
    </row>
    <row r="1634">
      <c r="A1634" s="129"/>
      <c r="B1634" s="130"/>
      <c r="C1634" s="60"/>
      <c r="D1634" s="60"/>
      <c r="E1634" s="60"/>
      <c r="F1634" s="130"/>
      <c r="G1634" s="60"/>
      <c r="H1634" s="130"/>
      <c r="I1634" s="60"/>
      <c r="J1634" s="60"/>
      <c r="K1634" s="60"/>
      <c r="L1634" s="60"/>
      <c r="M1634" s="60"/>
    </row>
    <row r="1635">
      <c r="A1635" s="129"/>
      <c r="B1635" s="130"/>
      <c r="C1635" s="60"/>
      <c r="D1635" s="60"/>
      <c r="E1635" s="60"/>
      <c r="F1635" s="130"/>
      <c r="G1635" s="60"/>
      <c r="H1635" s="130"/>
      <c r="I1635" s="60"/>
      <c r="J1635" s="60"/>
      <c r="K1635" s="60"/>
      <c r="L1635" s="60"/>
      <c r="M1635" s="60"/>
    </row>
    <row r="1636">
      <c r="A1636" s="129"/>
      <c r="B1636" s="130"/>
      <c r="C1636" s="60"/>
      <c r="D1636" s="60"/>
      <c r="E1636" s="60"/>
      <c r="F1636" s="130"/>
      <c r="G1636" s="60"/>
      <c r="H1636" s="130"/>
      <c r="I1636" s="60"/>
      <c r="J1636" s="60"/>
      <c r="K1636" s="60"/>
      <c r="L1636" s="60"/>
      <c r="M1636" s="60"/>
    </row>
    <row r="1637">
      <c r="A1637" s="129"/>
      <c r="B1637" s="130"/>
      <c r="C1637" s="60"/>
      <c r="D1637" s="60"/>
      <c r="E1637" s="60"/>
      <c r="F1637" s="130"/>
      <c r="G1637" s="60"/>
      <c r="H1637" s="130"/>
      <c r="I1637" s="60"/>
      <c r="J1637" s="60"/>
      <c r="K1637" s="60"/>
      <c r="L1637" s="60"/>
      <c r="M1637" s="60"/>
    </row>
    <row r="1638">
      <c r="A1638" s="129"/>
      <c r="B1638" s="130"/>
      <c r="C1638" s="60"/>
      <c r="D1638" s="60"/>
      <c r="E1638" s="60"/>
      <c r="F1638" s="130"/>
      <c r="G1638" s="60"/>
      <c r="H1638" s="130"/>
      <c r="I1638" s="60"/>
      <c r="J1638" s="60"/>
      <c r="K1638" s="60"/>
      <c r="L1638" s="60"/>
      <c r="M1638" s="60"/>
    </row>
    <row r="1639">
      <c r="A1639" s="129"/>
      <c r="B1639" s="130"/>
      <c r="C1639" s="60"/>
      <c r="D1639" s="60"/>
      <c r="E1639" s="60"/>
      <c r="F1639" s="130"/>
      <c r="G1639" s="60"/>
      <c r="H1639" s="130"/>
      <c r="I1639" s="60"/>
      <c r="J1639" s="60"/>
      <c r="K1639" s="60"/>
      <c r="L1639" s="60"/>
      <c r="M1639" s="60"/>
    </row>
    <row r="1640">
      <c r="A1640" s="129"/>
      <c r="B1640" s="130"/>
      <c r="C1640" s="60"/>
      <c r="D1640" s="60"/>
      <c r="E1640" s="60"/>
      <c r="F1640" s="130"/>
      <c r="G1640" s="60"/>
      <c r="H1640" s="130"/>
      <c r="I1640" s="60"/>
      <c r="J1640" s="60"/>
      <c r="K1640" s="60"/>
      <c r="L1640" s="60"/>
      <c r="M1640" s="60"/>
    </row>
    <row r="1641">
      <c r="A1641" s="129"/>
      <c r="B1641" s="130"/>
      <c r="C1641" s="60"/>
      <c r="D1641" s="60"/>
      <c r="E1641" s="60"/>
      <c r="F1641" s="130"/>
      <c r="G1641" s="60"/>
      <c r="H1641" s="130"/>
      <c r="I1641" s="60"/>
      <c r="J1641" s="60"/>
      <c r="K1641" s="60"/>
      <c r="L1641" s="60"/>
      <c r="M1641" s="60"/>
    </row>
    <row r="1642">
      <c r="A1642" s="129"/>
      <c r="B1642" s="130"/>
      <c r="C1642" s="60"/>
      <c r="D1642" s="60"/>
      <c r="E1642" s="60"/>
      <c r="F1642" s="130"/>
      <c r="G1642" s="60"/>
      <c r="H1642" s="130"/>
      <c r="I1642" s="60"/>
      <c r="J1642" s="60"/>
      <c r="K1642" s="60"/>
      <c r="L1642" s="60"/>
      <c r="M1642" s="60"/>
    </row>
    <row r="1643">
      <c r="A1643" s="129"/>
      <c r="B1643" s="130"/>
      <c r="C1643" s="60"/>
      <c r="D1643" s="60"/>
      <c r="E1643" s="60"/>
      <c r="F1643" s="130"/>
      <c r="G1643" s="60"/>
      <c r="H1643" s="130"/>
      <c r="I1643" s="60"/>
      <c r="J1643" s="60"/>
      <c r="K1643" s="60"/>
      <c r="L1643" s="60"/>
      <c r="M1643" s="60"/>
    </row>
    <row r="1644">
      <c r="A1644" s="129"/>
      <c r="B1644" s="130"/>
      <c r="C1644" s="60"/>
      <c r="D1644" s="60"/>
      <c r="E1644" s="60"/>
      <c r="F1644" s="130"/>
      <c r="G1644" s="60"/>
      <c r="H1644" s="130"/>
      <c r="I1644" s="60"/>
      <c r="J1644" s="60"/>
      <c r="K1644" s="60"/>
      <c r="L1644" s="60"/>
      <c r="M1644" s="60"/>
    </row>
    <row r="1645">
      <c r="A1645" s="129"/>
      <c r="B1645" s="130"/>
      <c r="C1645" s="60"/>
      <c r="D1645" s="60"/>
      <c r="E1645" s="60"/>
      <c r="F1645" s="130"/>
      <c r="G1645" s="60"/>
      <c r="H1645" s="130"/>
      <c r="I1645" s="60"/>
      <c r="J1645" s="60"/>
      <c r="K1645" s="60"/>
      <c r="L1645" s="60"/>
      <c r="M1645" s="60"/>
    </row>
    <row r="1646">
      <c r="A1646" s="129"/>
      <c r="B1646" s="130"/>
      <c r="C1646" s="60"/>
      <c r="D1646" s="60"/>
      <c r="E1646" s="60"/>
      <c r="F1646" s="130"/>
      <c r="G1646" s="60"/>
      <c r="H1646" s="130"/>
      <c r="I1646" s="60"/>
      <c r="J1646" s="60"/>
      <c r="K1646" s="60"/>
      <c r="L1646" s="60"/>
      <c r="M1646" s="60"/>
    </row>
    <row r="1647">
      <c r="A1647" s="129"/>
      <c r="B1647" s="130"/>
      <c r="C1647" s="60"/>
      <c r="D1647" s="60"/>
      <c r="E1647" s="60"/>
      <c r="F1647" s="130"/>
      <c r="G1647" s="60"/>
      <c r="H1647" s="130"/>
      <c r="I1647" s="60"/>
      <c r="J1647" s="60"/>
      <c r="K1647" s="60"/>
      <c r="L1647" s="60"/>
      <c r="M1647" s="60"/>
    </row>
    <row r="1648">
      <c r="A1648" s="129"/>
      <c r="B1648" s="130"/>
      <c r="C1648" s="60"/>
      <c r="D1648" s="60"/>
      <c r="E1648" s="60"/>
      <c r="F1648" s="130"/>
      <c r="G1648" s="60"/>
      <c r="H1648" s="130"/>
      <c r="I1648" s="60"/>
      <c r="J1648" s="60"/>
      <c r="K1648" s="60"/>
      <c r="L1648" s="60"/>
      <c r="M1648" s="60"/>
    </row>
    <row r="1649">
      <c r="A1649" s="129"/>
      <c r="B1649" s="130"/>
      <c r="C1649" s="60"/>
      <c r="D1649" s="60"/>
      <c r="E1649" s="60"/>
      <c r="F1649" s="130"/>
      <c r="G1649" s="60"/>
      <c r="H1649" s="130"/>
      <c r="I1649" s="60"/>
      <c r="J1649" s="60"/>
      <c r="K1649" s="60"/>
      <c r="L1649" s="60"/>
      <c r="M1649" s="60"/>
    </row>
    <row r="1650">
      <c r="A1650" s="129"/>
      <c r="B1650" s="130"/>
      <c r="C1650" s="60"/>
      <c r="D1650" s="60"/>
      <c r="E1650" s="60"/>
      <c r="F1650" s="130"/>
      <c r="G1650" s="60"/>
      <c r="H1650" s="130"/>
      <c r="I1650" s="60"/>
      <c r="J1650" s="60"/>
      <c r="K1650" s="60"/>
      <c r="L1650" s="60"/>
      <c r="M1650" s="60"/>
    </row>
    <row r="1651">
      <c r="A1651" s="129"/>
      <c r="B1651" s="130"/>
      <c r="C1651" s="60"/>
      <c r="D1651" s="60"/>
      <c r="E1651" s="60"/>
      <c r="F1651" s="130"/>
      <c r="G1651" s="60"/>
      <c r="H1651" s="130"/>
      <c r="I1651" s="60"/>
      <c r="J1651" s="60"/>
      <c r="K1651" s="60"/>
      <c r="L1651" s="60"/>
      <c r="M1651" s="60"/>
    </row>
    <row r="1652">
      <c r="A1652" s="129"/>
      <c r="B1652" s="130"/>
      <c r="C1652" s="60"/>
      <c r="D1652" s="60"/>
      <c r="E1652" s="60"/>
      <c r="F1652" s="130"/>
      <c r="G1652" s="60"/>
      <c r="H1652" s="130"/>
      <c r="I1652" s="60"/>
      <c r="J1652" s="60"/>
      <c r="K1652" s="60"/>
      <c r="L1652" s="60"/>
      <c r="M1652" s="60"/>
    </row>
    <row r="1653">
      <c r="A1653" s="129"/>
      <c r="B1653" s="130"/>
      <c r="C1653" s="60"/>
      <c r="D1653" s="60"/>
      <c r="E1653" s="60"/>
      <c r="F1653" s="130"/>
      <c r="G1653" s="60"/>
      <c r="H1653" s="130"/>
      <c r="I1653" s="60"/>
      <c r="J1653" s="60"/>
      <c r="K1653" s="60"/>
      <c r="L1653" s="60"/>
      <c r="M1653" s="60"/>
    </row>
    <row r="1654">
      <c r="A1654" s="129"/>
      <c r="B1654" s="130"/>
      <c r="C1654" s="60"/>
      <c r="D1654" s="60"/>
      <c r="E1654" s="60"/>
      <c r="F1654" s="130"/>
      <c r="G1654" s="60"/>
      <c r="H1654" s="130"/>
      <c r="I1654" s="60"/>
      <c r="J1654" s="60"/>
      <c r="K1654" s="60"/>
      <c r="L1654" s="60"/>
      <c r="M1654" s="60"/>
    </row>
    <row r="1655">
      <c r="A1655" s="129"/>
      <c r="B1655" s="130"/>
      <c r="C1655" s="60"/>
      <c r="D1655" s="60"/>
      <c r="E1655" s="60"/>
      <c r="F1655" s="130"/>
      <c r="G1655" s="60"/>
      <c r="H1655" s="130"/>
      <c r="I1655" s="60"/>
      <c r="J1655" s="60"/>
      <c r="K1655" s="60"/>
      <c r="L1655" s="60"/>
      <c r="M1655" s="60"/>
    </row>
    <row r="1656">
      <c r="A1656" s="129"/>
      <c r="B1656" s="130"/>
      <c r="C1656" s="60"/>
      <c r="D1656" s="60"/>
      <c r="E1656" s="60"/>
      <c r="F1656" s="130"/>
      <c r="G1656" s="60"/>
      <c r="H1656" s="130"/>
      <c r="I1656" s="60"/>
      <c r="J1656" s="60"/>
      <c r="K1656" s="60"/>
      <c r="L1656" s="60"/>
      <c r="M1656" s="60"/>
    </row>
    <row r="1657">
      <c r="A1657" s="129"/>
      <c r="B1657" s="130"/>
      <c r="C1657" s="60"/>
      <c r="D1657" s="60"/>
      <c r="E1657" s="60"/>
      <c r="F1657" s="130"/>
      <c r="G1657" s="60"/>
      <c r="H1657" s="130"/>
      <c r="I1657" s="60"/>
      <c r="J1657" s="60"/>
      <c r="K1657" s="60"/>
      <c r="L1657" s="60"/>
      <c r="M1657" s="60"/>
    </row>
    <row r="1658">
      <c r="A1658" s="129"/>
      <c r="B1658" s="130"/>
      <c r="C1658" s="60"/>
      <c r="D1658" s="60"/>
      <c r="E1658" s="60"/>
      <c r="F1658" s="130"/>
      <c r="G1658" s="60"/>
      <c r="H1658" s="130"/>
      <c r="I1658" s="60"/>
      <c r="J1658" s="60"/>
      <c r="K1658" s="60"/>
      <c r="L1658" s="60"/>
      <c r="M1658" s="60"/>
    </row>
    <row r="1659">
      <c r="A1659" s="129"/>
      <c r="B1659" s="130"/>
      <c r="C1659" s="60"/>
      <c r="D1659" s="60"/>
      <c r="E1659" s="60"/>
      <c r="F1659" s="130"/>
      <c r="G1659" s="60"/>
      <c r="H1659" s="130"/>
      <c r="I1659" s="60"/>
      <c r="J1659" s="60"/>
      <c r="K1659" s="60"/>
      <c r="L1659" s="60"/>
      <c r="M1659" s="60"/>
    </row>
    <row r="1660">
      <c r="A1660" s="129"/>
      <c r="B1660" s="130"/>
      <c r="C1660" s="60"/>
      <c r="D1660" s="60"/>
      <c r="E1660" s="60"/>
      <c r="F1660" s="130"/>
      <c r="G1660" s="60"/>
      <c r="H1660" s="130"/>
      <c r="I1660" s="60"/>
      <c r="J1660" s="60"/>
      <c r="K1660" s="60"/>
      <c r="L1660" s="60"/>
      <c r="M1660" s="60"/>
    </row>
    <row r="1661">
      <c r="A1661" s="129"/>
      <c r="B1661" s="130"/>
      <c r="C1661" s="60"/>
      <c r="D1661" s="60"/>
      <c r="E1661" s="60"/>
      <c r="F1661" s="130"/>
      <c r="G1661" s="60"/>
      <c r="H1661" s="130"/>
      <c r="I1661" s="60"/>
      <c r="J1661" s="60"/>
      <c r="K1661" s="60"/>
      <c r="L1661" s="60"/>
      <c r="M1661" s="60"/>
    </row>
    <row r="1662">
      <c r="A1662" s="129"/>
      <c r="B1662" s="130"/>
      <c r="C1662" s="60"/>
      <c r="D1662" s="60"/>
      <c r="E1662" s="60"/>
      <c r="F1662" s="130"/>
      <c r="G1662" s="60"/>
      <c r="H1662" s="130"/>
      <c r="I1662" s="60"/>
      <c r="J1662" s="60"/>
      <c r="K1662" s="60"/>
      <c r="L1662" s="60"/>
      <c r="M1662" s="60"/>
    </row>
    <row r="1663">
      <c r="A1663" s="129"/>
      <c r="B1663" s="130"/>
      <c r="C1663" s="60"/>
      <c r="D1663" s="60"/>
      <c r="E1663" s="60"/>
      <c r="F1663" s="130"/>
      <c r="G1663" s="60"/>
      <c r="H1663" s="130"/>
      <c r="I1663" s="60"/>
      <c r="J1663" s="60"/>
      <c r="K1663" s="60"/>
      <c r="L1663" s="60"/>
      <c r="M1663" s="60"/>
    </row>
    <row r="1664">
      <c r="A1664" s="129"/>
      <c r="B1664" s="130"/>
      <c r="C1664" s="60"/>
      <c r="D1664" s="60"/>
      <c r="E1664" s="60"/>
      <c r="F1664" s="130"/>
      <c r="G1664" s="60"/>
      <c r="H1664" s="130"/>
      <c r="I1664" s="60"/>
      <c r="J1664" s="60"/>
      <c r="K1664" s="60"/>
      <c r="L1664" s="60"/>
      <c r="M1664" s="60"/>
    </row>
    <row r="1665">
      <c r="A1665" s="129"/>
      <c r="B1665" s="130"/>
      <c r="C1665" s="60"/>
      <c r="D1665" s="60"/>
      <c r="E1665" s="60"/>
      <c r="F1665" s="130"/>
      <c r="G1665" s="60"/>
      <c r="H1665" s="130"/>
      <c r="I1665" s="60"/>
      <c r="J1665" s="60"/>
      <c r="K1665" s="60"/>
      <c r="L1665" s="60"/>
      <c r="M1665" s="60"/>
    </row>
    <row r="1666">
      <c r="A1666" s="129"/>
      <c r="B1666" s="130"/>
      <c r="C1666" s="60"/>
      <c r="D1666" s="60"/>
      <c r="E1666" s="60"/>
      <c r="F1666" s="130"/>
      <c r="G1666" s="60"/>
      <c r="H1666" s="130"/>
      <c r="I1666" s="60"/>
      <c r="J1666" s="60"/>
      <c r="K1666" s="60"/>
      <c r="L1666" s="60"/>
      <c r="M1666" s="60"/>
    </row>
    <row r="1667">
      <c r="A1667" s="129"/>
      <c r="B1667" s="130"/>
      <c r="C1667" s="60"/>
      <c r="D1667" s="60"/>
      <c r="E1667" s="60"/>
      <c r="F1667" s="130"/>
      <c r="G1667" s="60"/>
      <c r="H1667" s="130"/>
      <c r="I1667" s="60"/>
      <c r="J1667" s="60"/>
      <c r="K1667" s="60"/>
      <c r="L1667" s="60"/>
      <c r="M1667" s="60"/>
    </row>
    <row r="1668">
      <c r="A1668" s="129"/>
      <c r="B1668" s="130"/>
      <c r="C1668" s="60"/>
      <c r="D1668" s="60"/>
      <c r="E1668" s="60"/>
      <c r="F1668" s="130"/>
      <c r="G1668" s="60"/>
      <c r="H1668" s="130"/>
      <c r="I1668" s="60"/>
      <c r="J1668" s="60"/>
      <c r="K1668" s="60"/>
      <c r="L1668" s="60"/>
      <c r="M1668" s="60"/>
    </row>
    <row r="1669">
      <c r="A1669" s="129"/>
      <c r="B1669" s="130"/>
      <c r="C1669" s="60"/>
      <c r="D1669" s="60"/>
      <c r="E1669" s="60"/>
      <c r="F1669" s="130"/>
      <c r="G1669" s="60"/>
      <c r="H1669" s="130"/>
      <c r="I1669" s="60"/>
      <c r="J1669" s="60"/>
      <c r="K1669" s="60"/>
      <c r="L1669" s="60"/>
      <c r="M1669" s="60"/>
    </row>
    <row r="1670">
      <c r="A1670" s="129"/>
      <c r="B1670" s="130"/>
      <c r="C1670" s="60"/>
      <c r="D1670" s="60"/>
      <c r="E1670" s="60"/>
      <c r="F1670" s="130"/>
      <c r="G1670" s="60"/>
      <c r="H1670" s="130"/>
      <c r="I1670" s="60"/>
      <c r="J1670" s="60"/>
      <c r="K1670" s="60"/>
      <c r="L1670" s="60"/>
      <c r="M1670" s="60"/>
    </row>
    <row r="1671">
      <c r="A1671" s="129"/>
      <c r="B1671" s="130"/>
      <c r="C1671" s="60"/>
      <c r="D1671" s="60"/>
      <c r="E1671" s="60"/>
      <c r="F1671" s="130"/>
      <c r="G1671" s="60"/>
      <c r="H1671" s="130"/>
      <c r="I1671" s="60"/>
      <c r="J1671" s="60"/>
      <c r="K1671" s="60"/>
      <c r="L1671" s="60"/>
      <c r="M1671" s="60"/>
    </row>
    <row r="1672">
      <c r="A1672" s="129"/>
      <c r="B1672" s="130"/>
      <c r="C1672" s="60"/>
      <c r="D1672" s="60"/>
      <c r="E1672" s="60"/>
      <c r="F1672" s="130"/>
      <c r="G1672" s="60"/>
      <c r="H1672" s="130"/>
      <c r="I1672" s="60"/>
      <c r="J1672" s="60"/>
      <c r="K1672" s="60"/>
      <c r="L1672" s="60"/>
      <c r="M1672" s="60"/>
    </row>
    <row r="1673">
      <c r="A1673" s="129"/>
      <c r="B1673" s="130"/>
      <c r="C1673" s="60"/>
      <c r="D1673" s="60"/>
      <c r="E1673" s="60"/>
      <c r="F1673" s="130"/>
      <c r="G1673" s="60"/>
      <c r="H1673" s="130"/>
      <c r="I1673" s="60"/>
      <c r="J1673" s="60"/>
      <c r="K1673" s="60"/>
      <c r="L1673" s="60"/>
      <c r="M1673" s="60"/>
    </row>
    <row r="1674">
      <c r="A1674" s="129"/>
      <c r="B1674" s="130"/>
      <c r="C1674" s="60"/>
      <c r="D1674" s="60"/>
      <c r="E1674" s="60"/>
      <c r="F1674" s="130"/>
      <c r="G1674" s="60"/>
      <c r="H1674" s="130"/>
      <c r="I1674" s="60"/>
      <c r="J1674" s="60"/>
      <c r="K1674" s="60"/>
      <c r="L1674" s="60"/>
      <c r="M1674" s="60"/>
    </row>
    <row r="1675">
      <c r="A1675" s="129"/>
      <c r="B1675" s="130"/>
      <c r="C1675" s="60"/>
      <c r="D1675" s="60"/>
      <c r="E1675" s="60"/>
      <c r="F1675" s="130"/>
      <c r="G1675" s="60"/>
      <c r="H1675" s="130"/>
      <c r="I1675" s="60"/>
      <c r="J1675" s="60"/>
      <c r="K1675" s="60"/>
      <c r="L1675" s="60"/>
      <c r="M1675" s="60"/>
    </row>
    <row r="1676">
      <c r="A1676" s="129"/>
      <c r="B1676" s="130"/>
      <c r="C1676" s="60"/>
      <c r="D1676" s="60"/>
      <c r="E1676" s="60"/>
      <c r="F1676" s="130"/>
      <c r="G1676" s="60"/>
      <c r="H1676" s="130"/>
      <c r="I1676" s="60"/>
      <c r="J1676" s="60"/>
      <c r="K1676" s="60"/>
      <c r="L1676" s="60"/>
      <c r="M1676" s="60"/>
    </row>
    <row r="1677">
      <c r="A1677" s="129"/>
      <c r="B1677" s="130"/>
      <c r="C1677" s="60"/>
      <c r="D1677" s="60"/>
      <c r="E1677" s="60"/>
      <c r="F1677" s="130"/>
      <c r="G1677" s="60"/>
      <c r="H1677" s="130"/>
      <c r="I1677" s="60"/>
      <c r="J1677" s="60"/>
      <c r="K1677" s="60"/>
      <c r="L1677" s="60"/>
      <c r="M1677" s="60"/>
    </row>
    <row r="1678">
      <c r="A1678" s="129"/>
      <c r="B1678" s="130"/>
      <c r="C1678" s="60"/>
      <c r="D1678" s="60"/>
      <c r="E1678" s="60"/>
      <c r="F1678" s="130"/>
      <c r="G1678" s="60"/>
      <c r="H1678" s="130"/>
      <c r="I1678" s="60"/>
      <c r="J1678" s="60"/>
      <c r="K1678" s="60"/>
      <c r="L1678" s="60"/>
      <c r="M1678" s="60"/>
    </row>
    <row r="1679">
      <c r="A1679" s="129"/>
      <c r="B1679" s="130"/>
      <c r="C1679" s="60"/>
      <c r="D1679" s="60"/>
      <c r="E1679" s="60"/>
      <c r="F1679" s="130"/>
      <c r="G1679" s="60"/>
      <c r="H1679" s="130"/>
      <c r="I1679" s="60"/>
      <c r="J1679" s="60"/>
      <c r="K1679" s="60"/>
      <c r="L1679" s="60"/>
      <c r="M1679" s="60"/>
    </row>
    <row r="1680">
      <c r="A1680" s="129"/>
      <c r="B1680" s="130"/>
      <c r="C1680" s="60"/>
      <c r="D1680" s="60"/>
      <c r="E1680" s="60"/>
      <c r="F1680" s="130"/>
      <c r="G1680" s="60"/>
      <c r="H1680" s="130"/>
      <c r="I1680" s="60"/>
      <c r="J1680" s="60"/>
      <c r="K1680" s="60"/>
      <c r="L1680" s="60"/>
      <c r="M1680" s="60"/>
    </row>
    <row r="1681">
      <c r="A1681" s="129"/>
      <c r="B1681" s="130"/>
      <c r="C1681" s="60"/>
      <c r="D1681" s="60"/>
      <c r="E1681" s="60"/>
      <c r="F1681" s="130"/>
      <c r="G1681" s="60"/>
      <c r="H1681" s="130"/>
      <c r="I1681" s="60"/>
      <c r="J1681" s="60"/>
      <c r="K1681" s="60"/>
      <c r="L1681" s="60"/>
      <c r="M1681" s="60"/>
    </row>
    <row r="1682">
      <c r="A1682" s="129"/>
      <c r="B1682" s="130"/>
      <c r="C1682" s="60"/>
      <c r="D1682" s="60"/>
      <c r="E1682" s="60"/>
      <c r="F1682" s="130"/>
      <c r="G1682" s="60"/>
      <c r="H1682" s="130"/>
      <c r="I1682" s="60"/>
      <c r="J1682" s="60"/>
      <c r="K1682" s="60"/>
      <c r="L1682" s="60"/>
      <c r="M1682" s="60"/>
    </row>
    <row r="1683">
      <c r="A1683" s="129"/>
      <c r="B1683" s="130"/>
      <c r="C1683" s="60"/>
      <c r="D1683" s="60"/>
      <c r="E1683" s="60"/>
      <c r="F1683" s="130"/>
      <c r="G1683" s="60"/>
      <c r="H1683" s="130"/>
      <c r="I1683" s="60"/>
      <c r="J1683" s="60"/>
      <c r="K1683" s="60"/>
      <c r="L1683" s="60"/>
      <c r="M1683" s="60"/>
    </row>
    <row r="1684">
      <c r="A1684" s="129"/>
      <c r="B1684" s="130"/>
      <c r="C1684" s="60"/>
      <c r="D1684" s="60"/>
      <c r="E1684" s="60"/>
      <c r="F1684" s="130"/>
      <c r="G1684" s="60"/>
      <c r="H1684" s="130"/>
      <c r="I1684" s="60"/>
      <c r="J1684" s="60"/>
      <c r="K1684" s="60"/>
      <c r="L1684" s="60"/>
      <c r="M1684" s="60"/>
    </row>
    <row r="1685">
      <c r="A1685" s="129"/>
      <c r="B1685" s="130"/>
      <c r="C1685" s="60"/>
      <c r="D1685" s="60"/>
      <c r="E1685" s="60"/>
      <c r="F1685" s="130"/>
      <c r="G1685" s="60"/>
      <c r="H1685" s="130"/>
      <c r="I1685" s="60"/>
      <c r="J1685" s="60"/>
      <c r="K1685" s="60"/>
      <c r="L1685" s="60"/>
      <c r="M1685" s="60"/>
    </row>
    <row r="1686">
      <c r="A1686" s="129"/>
      <c r="B1686" s="130"/>
      <c r="C1686" s="60"/>
      <c r="D1686" s="60"/>
      <c r="E1686" s="60"/>
      <c r="F1686" s="130"/>
      <c r="G1686" s="60"/>
      <c r="H1686" s="130"/>
      <c r="I1686" s="60"/>
      <c r="J1686" s="60"/>
      <c r="K1686" s="60"/>
      <c r="L1686" s="60"/>
      <c r="M1686" s="60"/>
    </row>
    <row r="1687">
      <c r="A1687" s="129"/>
      <c r="B1687" s="130"/>
      <c r="C1687" s="60"/>
      <c r="D1687" s="60"/>
      <c r="E1687" s="60"/>
      <c r="F1687" s="130"/>
      <c r="G1687" s="60"/>
      <c r="H1687" s="130"/>
      <c r="I1687" s="60"/>
      <c r="J1687" s="60"/>
      <c r="K1687" s="60"/>
      <c r="L1687" s="60"/>
      <c r="M1687" s="60"/>
    </row>
    <row r="1688">
      <c r="A1688" s="129"/>
      <c r="B1688" s="130"/>
      <c r="C1688" s="60"/>
      <c r="D1688" s="60"/>
      <c r="E1688" s="60"/>
      <c r="F1688" s="130"/>
      <c r="G1688" s="60"/>
      <c r="H1688" s="130"/>
      <c r="I1688" s="60"/>
      <c r="J1688" s="60"/>
      <c r="K1688" s="60"/>
      <c r="L1688" s="60"/>
      <c r="M1688" s="60"/>
    </row>
    <row r="1689">
      <c r="A1689" s="129"/>
      <c r="B1689" s="130"/>
      <c r="C1689" s="60"/>
      <c r="D1689" s="60"/>
      <c r="E1689" s="60"/>
      <c r="F1689" s="130"/>
      <c r="G1689" s="60"/>
      <c r="H1689" s="130"/>
      <c r="I1689" s="60"/>
      <c r="J1689" s="60"/>
      <c r="K1689" s="60"/>
      <c r="L1689" s="60"/>
      <c r="M1689" s="60"/>
    </row>
    <row r="1690">
      <c r="A1690" s="129"/>
      <c r="B1690" s="130"/>
      <c r="C1690" s="60"/>
      <c r="D1690" s="60"/>
      <c r="E1690" s="60"/>
      <c r="F1690" s="130"/>
      <c r="G1690" s="60"/>
      <c r="H1690" s="130"/>
      <c r="I1690" s="60"/>
      <c r="J1690" s="60"/>
      <c r="K1690" s="60"/>
      <c r="L1690" s="60"/>
      <c r="M1690" s="60"/>
    </row>
    <row r="1691">
      <c r="A1691" s="129"/>
      <c r="B1691" s="130"/>
      <c r="C1691" s="60"/>
      <c r="D1691" s="60"/>
      <c r="E1691" s="60"/>
      <c r="F1691" s="130"/>
      <c r="G1691" s="60"/>
      <c r="H1691" s="130"/>
      <c r="I1691" s="60"/>
      <c r="J1691" s="60"/>
      <c r="K1691" s="60"/>
      <c r="L1691" s="60"/>
      <c r="M1691" s="60"/>
    </row>
    <row r="1692">
      <c r="A1692" s="129"/>
      <c r="B1692" s="130"/>
      <c r="C1692" s="60"/>
      <c r="D1692" s="60"/>
      <c r="E1692" s="60"/>
      <c r="F1692" s="130"/>
      <c r="G1692" s="60"/>
      <c r="H1692" s="130"/>
      <c r="I1692" s="60"/>
      <c r="J1692" s="60"/>
      <c r="K1692" s="60"/>
      <c r="L1692" s="60"/>
      <c r="M1692" s="60"/>
    </row>
    <row r="1693">
      <c r="A1693" s="129"/>
      <c r="B1693" s="130"/>
      <c r="C1693" s="60"/>
      <c r="D1693" s="60"/>
      <c r="E1693" s="60"/>
      <c r="F1693" s="130"/>
      <c r="G1693" s="60"/>
      <c r="H1693" s="130"/>
      <c r="I1693" s="60"/>
      <c r="J1693" s="60"/>
      <c r="K1693" s="60"/>
      <c r="L1693" s="60"/>
      <c r="M1693" s="60"/>
    </row>
    <row r="1694">
      <c r="A1694" s="129"/>
      <c r="B1694" s="130"/>
      <c r="C1694" s="60"/>
      <c r="D1694" s="60"/>
      <c r="E1694" s="60"/>
      <c r="F1694" s="130"/>
      <c r="G1694" s="60"/>
      <c r="H1694" s="130"/>
      <c r="I1694" s="60"/>
      <c r="J1694" s="60"/>
      <c r="K1694" s="60"/>
      <c r="L1694" s="60"/>
      <c r="M1694" s="60"/>
    </row>
    <row r="1695">
      <c r="A1695" s="129"/>
      <c r="B1695" s="130"/>
      <c r="C1695" s="60"/>
      <c r="D1695" s="60"/>
      <c r="E1695" s="60"/>
      <c r="F1695" s="130"/>
      <c r="G1695" s="60"/>
      <c r="H1695" s="130"/>
      <c r="I1695" s="60"/>
      <c r="J1695" s="60"/>
      <c r="K1695" s="60"/>
      <c r="L1695" s="60"/>
      <c r="M1695" s="60"/>
    </row>
    <row r="1696">
      <c r="A1696" s="129"/>
      <c r="B1696" s="130"/>
      <c r="C1696" s="60"/>
      <c r="D1696" s="60"/>
      <c r="E1696" s="60"/>
      <c r="F1696" s="130"/>
      <c r="G1696" s="60"/>
      <c r="H1696" s="130"/>
      <c r="I1696" s="60"/>
      <c r="J1696" s="60"/>
      <c r="K1696" s="60"/>
      <c r="L1696" s="60"/>
      <c r="M1696" s="60"/>
    </row>
    <row r="1697">
      <c r="A1697" s="129"/>
      <c r="B1697" s="130"/>
      <c r="C1697" s="60"/>
      <c r="D1697" s="60"/>
      <c r="E1697" s="60"/>
      <c r="F1697" s="130"/>
      <c r="G1697" s="60"/>
      <c r="H1697" s="130"/>
      <c r="I1697" s="60"/>
      <c r="J1697" s="60"/>
      <c r="K1697" s="60"/>
      <c r="L1697" s="60"/>
      <c r="M1697" s="60"/>
    </row>
    <row r="1698">
      <c r="A1698" s="129"/>
      <c r="B1698" s="130"/>
      <c r="C1698" s="60"/>
      <c r="D1698" s="60"/>
      <c r="E1698" s="60"/>
      <c r="F1698" s="130"/>
      <c r="G1698" s="60"/>
      <c r="H1698" s="130"/>
      <c r="I1698" s="60"/>
      <c r="J1698" s="60"/>
      <c r="K1698" s="60"/>
      <c r="L1698" s="60"/>
      <c r="M1698" s="60"/>
    </row>
    <row r="1699">
      <c r="A1699" s="129"/>
      <c r="B1699" s="130"/>
      <c r="C1699" s="60"/>
      <c r="D1699" s="60"/>
      <c r="E1699" s="60"/>
      <c r="F1699" s="130"/>
      <c r="G1699" s="60"/>
      <c r="H1699" s="130"/>
      <c r="I1699" s="60"/>
      <c r="J1699" s="60"/>
      <c r="K1699" s="60"/>
      <c r="L1699" s="60"/>
      <c r="M1699" s="60"/>
    </row>
    <row r="1700">
      <c r="A1700" s="129"/>
      <c r="B1700" s="130"/>
      <c r="C1700" s="60"/>
      <c r="D1700" s="60"/>
      <c r="E1700" s="60"/>
      <c r="F1700" s="130"/>
      <c r="G1700" s="60"/>
      <c r="H1700" s="130"/>
      <c r="I1700" s="60"/>
      <c r="J1700" s="60"/>
      <c r="K1700" s="60"/>
      <c r="L1700" s="60"/>
      <c r="M1700" s="60"/>
    </row>
    <row r="1701">
      <c r="A1701" s="129"/>
      <c r="B1701" s="130"/>
      <c r="C1701" s="60"/>
      <c r="D1701" s="60"/>
      <c r="E1701" s="60"/>
      <c r="F1701" s="130"/>
      <c r="G1701" s="60"/>
      <c r="H1701" s="130"/>
      <c r="I1701" s="60"/>
      <c r="J1701" s="60"/>
      <c r="K1701" s="60"/>
      <c r="L1701" s="60"/>
      <c r="M1701" s="60"/>
    </row>
    <row r="1702">
      <c r="A1702" s="129"/>
      <c r="B1702" s="130"/>
      <c r="C1702" s="60"/>
      <c r="D1702" s="60"/>
      <c r="E1702" s="60"/>
      <c r="F1702" s="130"/>
      <c r="G1702" s="60"/>
      <c r="H1702" s="130"/>
      <c r="I1702" s="60"/>
      <c r="J1702" s="60"/>
      <c r="K1702" s="60"/>
      <c r="L1702" s="60"/>
      <c r="M1702" s="60"/>
    </row>
    <row r="1703">
      <c r="A1703" s="129"/>
      <c r="B1703" s="130"/>
      <c r="C1703" s="60"/>
      <c r="D1703" s="60"/>
      <c r="E1703" s="60"/>
      <c r="F1703" s="130"/>
      <c r="G1703" s="60"/>
      <c r="H1703" s="130"/>
      <c r="I1703" s="60"/>
      <c r="J1703" s="60"/>
      <c r="K1703" s="60"/>
      <c r="L1703" s="60"/>
      <c r="M1703" s="60"/>
    </row>
    <row r="1704">
      <c r="A1704" s="129"/>
      <c r="B1704" s="130"/>
      <c r="C1704" s="60"/>
      <c r="D1704" s="60"/>
      <c r="E1704" s="60"/>
      <c r="F1704" s="130"/>
      <c r="G1704" s="60"/>
      <c r="H1704" s="130"/>
      <c r="I1704" s="60"/>
      <c r="J1704" s="60"/>
      <c r="K1704" s="60"/>
      <c r="L1704" s="60"/>
      <c r="M1704" s="60"/>
    </row>
    <row r="1705">
      <c r="A1705" s="129"/>
      <c r="B1705" s="130"/>
      <c r="C1705" s="60"/>
      <c r="D1705" s="60"/>
      <c r="E1705" s="60"/>
      <c r="F1705" s="130"/>
      <c r="G1705" s="60"/>
      <c r="H1705" s="130"/>
      <c r="I1705" s="60"/>
      <c r="J1705" s="60"/>
      <c r="K1705" s="60"/>
      <c r="L1705" s="60"/>
      <c r="M1705" s="60"/>
    </row>
    <row r="1706">
      <c r="A1706" s="129"/>
      <c r="B1706" s="130"/>
      <c r="C1706" s="60"/>
      <c r="D1706" s="60"/>
      <c r="E1706" s="60"/>
      <c r="F1706" s="130"/>
      <c r="G1706" s="60"/>
      <c r="H1706" s="130"/>
      <c r="I1706" s="60"/>
      <c r="J1706" s="60"/>
      <c r="K1706" s="60"/>
      <c r="L1706" s="60"/>
      <c r="M1706" s="60"/>
    </row>
    <row r="1707">
      <c r="A1707" s="129"/>
      <c r="B1707" s="130"/>
      <c r="C1707" s="60"/>
      <c r="D1707" s="60"/>
      <c r="E1707" s="60"/>
      <c r="F1707" s="130"/>
      <c r="G1707" s="60"/>
      <c r="H1707" s="130"/>
      <c r="I1707" s="60"/>
      <c r="J1707" s="60"/>
      <c r="K1707" s="60"/>
      <c r="L1707" s="60"/>
      <c r="M1707" s="60"/>
    </row>
    <row r="1708">
      <c r="A1708" s="129"/>
      <c r="B1708" s="130"/>
      <c r="C1708" s="60"/>
      <c r="D1708" s="60"/>
      <c r="E1708" s="60"/>
      <c r="F1708" s="130"/>
      <c r="G1708" s="60"/>
      <c r="H1708" s="130"/>
      <c r="I1708" s="60"/>
      <c r="J1708" s="60"/>
      <c r="K1708" s="60"/>
      <c r="L1708" s="60"/>
      <c r="M1708" s="60"/>
    </row>
    <row r="1709">
      <c r="A1709" s="129"/>
      <c r="B1709" s="130"/>
      <c r="C1709" s="60"/>
      <c r="D1709" s="60"/>
      <c r="E1709" s="60"/>
      <c r="F1709" s="130"/>
      <c r="G1709" s="60"/>
      <c r="H1709" s="130"/>
      <c r="I1709" s="60"/>
      <c r="J1709" s="60"/>
      <c r="K1709" s="60"/>
      <c r="L1709" s="60"/>
      <c r="M1709" s="60"/>
    </row>
    <row r="1710">
      <c r="A1710" s="129"/>
      <c r="B1710" s="130"/>
      <c r="C1710" s="60"/>
      <c r="D1710" s="60"/>
      <c r="E1710" s="60"/>
      <c r="F1710" s="130"/>
      <c r="G1710" s="60"/>
      <c r="H1710" s="130"/>
      <c r="I1710" s="60"/>
      <c r="J1710" s="60"/>
      <c r="K1710" s="60"/>
      <c r="L1710" s="60"/>
      <c r="M1710" s="60"/>
    </row>
    <row r="1711">
      <c r="A1711" s="129"/>
      <c r="B1711" s="130"/>
      <c r="C1711" s="60"/>
      <c r="D1711" s="60"/>
      <c r="E1711" s="60"/>
      <c r="F1711" s="130"/>
      <c r="G1711" s="60"/>
      <c r="H1711" s="130"/>
      <c r="I1711" s="60"/>
      <c r="J1711" s="60"/>
      <c r="K1711" s="60"/>
      <c r="L1711" s="60"/>
      <c r="M1711" s="60"/>
    </row>
    <row r="1712">
      <c r="A1712" s="129"/>
      <c r="B1712" s="130"/>
      <c r="C1712" s="60"/>
      <c r="D1712" s="60"/>
      <c r="E1712" s="60"/>
      <c r="F1712" s="130"/>
      <c r="G1712" s="60"/>
      <c r="H1712" s="130"/>
      <c r="I1712" s="60"/>
      <c r="J1712" s="60"/>
      <c r="K1712" s="60"/>
      <c r="L1712" s="60"/>
      <c r="M1712" s="60"/>
    </row>
    <row r="1713">
      <c r="A1713" s="129"/>
      <c r="B1713" s="130"/>
      <c r="C1713" s="60"/>
      <c r="D1713" s="60"/>
      <c r="E1713" s="60"/>
      <c r="F1713" s="130"/>
      <c r="G1713" s="60"/>
      <c r="H1713" s="130"/>
      <c r="I1713" s="60"/>
      <c r="J1713" s="60"/>
      <c r="K1713" s="60"/>
      <c r="L1713" s="60"/>
      <c r="M1713" s="60"/>
    </row>
    <row r="1714">
      <c r="A1714" s="129"/>
      <c r="B1714" s="130"/>
      <c r="C1714" s="60"/>
      <c r="D1714" s="60"/>
      <c r="E1714" s="60"/>
      <c r="F1714" s="130"/>
      <c r="G1714" s="60"/>
      <c r="H1714" s="130"/>
      <c r="I1714" s="60"/>
      <c r="J1714" s="60"/>
      <c r="K1714" s="60"/>
      <c r="L1714" s="60"/>
      <c r="M1714" s="60"/>
    </row>
    <row r="1715">
      <c r="A1715" s="129"/>
      <c r="B1715" s="130"/>
      <c r="C1715" s="60"/>
      <c r="D1715" s="60"/>
      <c r="E1715" s="60"/>
      <c r="F1715" s="130"/>
      <c r="G1715" s="60"/>
      <c r="H1715" s="130"/>
      <c r="I1715" s="60"/>
      <c r="J1715" s="60"/>
      <c r="K1715" s="60"/>
      <c r="L1715" s="60"/>
      <c r="M1715" s="60"/>
    </row>
    <row r="1716">
      <c r="A1716" s="129"/>
      <c r="B1716" s="130"/>
      <c r="C1716" s="60"/>
      <c r="D1716" s="60"/>
      <c r="E1716" s="60"/>
      <c r="F1716" s="130"/>
      <c r="G1716" s="60"/>
      <c r="H1716" s="130"/>
      <c r="I1716" s="60"/>
      <c r="J1716" s="60"/>
      <c r="K1716" s="60"/>
      <c r="L1716" s="60"/>
      <c r="M1716" s="60"/>
    </row>
    <row r="1717">
      <c r="A1717" s="129"/>
      <c r="B1717" s="130"/>
      <c r="C1717" s="60"/>
      <c r="D1717" s="60"/>
      <c r="E1717" s="60"/>
      <c r="F1717" s="130"/>
      <c r="G1717" s="60"/>
      <c r="H1717" s="130"/>
      <c r="I1717" s="60"/>
      <c r="J1717" s="60"/>
      <c r="K1717" s="60"/>
      <c r="L1717" s="60"/>
      <c r="M1717" s="60"/>
    </row>
    <row r="1718">
      <c r="A1718" s="129"/>
      <c r="B1718" s="130"/>
      <c r="C1718" s="60"/>
      <c r="D1718" s="60"/>
      <c r="E1718" s="60"/>
      <c r="F1718" s="130"/>
      <c r="G1718" s="60"/>
      <c r="H1718" s="130"/>
      <c r="I1718" s="60"/>
      <c r="J1718" s="60"/>
      <c r="K1718" s="60"/>
      <c r="L1718" s="60"/>
      <c r="M1718" s="60"/>
    </row>
    <row r="1719">
      <c r="A1719" s="129"/>
      <c r="B1719" s="130"/>
      <c r="C1719" s="60"/>
      <c r="D1719" s="60"/>
      <c r="E1719" s="60"/>
      <c r="F1719" s="130"/>
      <c r="G1719" s="60"/>
      <c r="H1719" s="130"/>
      <c r="I1719" s="60"/>
      <c r="J1719" s="60"/>
      <c r="K1719" s="60"/>
      <c r="L1719" s="60"/>
      <c r="M1719" s="60"/>
    </row>
    <row r="1720">
      <c r="A1720" s="129"/>
      <c r="B1720" s="130"/>
      <c r="C1720" s="60"/>
      <c r="D1720" s="60"/>
      <c r="E1720" s="60"/>
      <c r="F1720" s="130"/>
      <c r="G1720" s="60"/>
      <c r="H1720" s="130"/>
      <c r="I1720" s="60"/>
      <c r="J1720" s="60"/>
      <c r="K1720" s="60"/>
      <c r="L1720" s="60"/>
      <c r="M1720" s="60"/>
    </row>
    <row r="1721">
      <c r="A1721" s="129"/>
      <c r="B1721" s="130"/>
      <c r="C1721" s="60"/>
      <c r="D1721" s="60"/>
      <c r="E1721" s="60"/>
      <c r="F1721" s="130"/>
      <c r="G1721" s="60"/>
      <c r="H1721" s="130"/>
      <c r="I1721" s="60"/>
      <c r="J1721" s="60"/>
      <c r="K1721" s="60"/>
      <c r="L1721" s="60"/>
      <c r="M1721" s="60"/>
    </row>
    <row r="1722">
      <c r="A1722" s="129"/>
      <c r="B1722" s="130"/>
      <c r="C1722" s="60"/>
      <c r="D1722" s="60"/>
      <c r="E1722" s="60"/>
      <c r="F1722" s="130"/>
      <c r="G1722" s="60"/>
      <c r="H1722" s="130"/>
      <c r="I1722" s="60"/>
      <c r="J1722" s="60"/>
      <c r="K1722" s="60"/>
      <c r="L1722" s="60"/>
      <c r="M1722" s="60"/>
    </row>
    <row r="1723">
      <c r="A1723" s="129"/>
      <c r="B1723" s="130"/>
      <c r="C1723" s="60"/>
      <c r="D1723" s="60"/>
      <c r="E1723" s="60"/>
      <c r="F1723" s="130"/>
      <c r="G1723" s="60"/>
      <c r="H1723" s="130"/>
      <c r="I1723" s="60"/>
      <c r="J1723" s="60"/>
      <c r="K1723" s="60"/>
      <c r="L1723" s="60"/>
      <c r="M1723" s="60"/>
    </row>
    <row r="1724">
      <c r="A1724" s="129"/>
      <c r="B1724" s="130"/>
      <c r="C1724" s="60"/>
      <c r="D1724" s="60"/>
      <c r="E1724" s="60"/>
      <c r="F1724" s="130"/>
      <c r="G1724" s="60"/>
      <c r="H1724" s="130"/>
      <c r="I1724" s="60"/>
      <c r="J1724" s="60"/>
      <c r="K1724" s="60"/>
      <c r="L1724" s="60"/>
      <c r="M1724" s="60"/>
    </row>
    <row r="1725">
      <c r="A1725" s="129"/>
      <c r="B1725" s="130"/>
      <c r="C1725" s="60"/>
      <c r="D1725" s="60"/>
      <c r="E1725" s="60"/>
      <c r="F1725" s="130"/>
      <c r="G1725" s="60"/>
      <c r="H1725" s="130"/>
      <c r="I1725" s="60"/>
      <c r="J1725" s="60"/>
      <c r="K1725" s="60"/>
      <c r="L1725" s="60"/>
      <c r="M1725" s="60"/>
    </row>
    <row r="1726">
      <c r="A1726" s="129"/>
      <c r="B1726" s="130"/>
      <c r="C1726" s="60"/>
      <c r="D1726" s="60"/>
      <c r="E1726" s="60"/>
      <c r="F1726" s="130"/>
      <c r="G1726" s="60"/>
      <c r="H1726" s="130"/>
      <c r="I1726" s="60"/>
      <c r="J1726" s="60"/>
      <c r="K1726" s="60"/>
      <c r="L1726" s="60"/>
      <c r="M1726" s="60"/>
    </row>
    <row r="1727">
      <c r="A1727" s="129"/>
      <c r="B1727" s="130"/>
      <c r="C1727" s="60"/>
      <c r="D1727" s="60"/>
      <c r="E1727" s="60"/>
      <c r="F1727" s="130"/>
      <c r="G1727" s="60"/>
      <c r="H1727" s="130"/>
      <c r="I1727" s="60"/>
      <c r="J1727" s="60"/>
      <c r="K1727" s="60"/>
      <c r="L1727" s="60"/>
      <c r="M1727" s="60"/>
    </row>
    <row r="1728">
      <c r="A1728" s="129"/>
      <c r="B1728" s="130"/>
      <c r="C1728" s="60"/>
      <c r="D1728" s="60"/>
      <c r="E1728" s="60"/>
      <c r="F1728" s="130"/>
      <c r="G1728" s="60"/>
      <c r="H1728" s="130"/>
      <c r="I1728" s="60"/>
      <c r="J1728" s="60"/>
      <c r="K1728" s="60"/>
      <c r="L1728" s="60"/>
      <c r="M1728" s="60"/>
    </row>
    <row r="1729">
      <c r="A1729" s="129"/>
      <c r="B1729" s="130"/>
      <c r="C1729" s="60"/>
      <c r="D1729" s="60"/>
      <c r="E1729" s="60"/>
      <c r="F1729" s="130"/>
      <c r="G1729" s="60"/>
      <c r="H1729" s="130"/>
      <c r="I1729" s="60"/>
      <c r="J1729" s="60"/>
      <c r="K1729" s="60"/>
      <c r="L1729" s="60"/>
      <c r="M1729" s="60"/>
    </row>
    <row r="1730">
      <c r="A1730" s="129"/>
      <c r="B1730" s="130"/>
      <c r="C1730" s="60"/>
      <c r="D1730" s="60"/>
      <c r="E1730" s="60"/>
      <c r="F1730" s="130"/>
      <c r="G1730" s="60"/>
      <c r="H1730" s="130"/>
      <c r="I1730" s="60"/>
      <c r="J1730" s="60"/>
      <c r="K1730" s="60"/>
      <c r="L1730" s="60"/>
      <c r="M1730" s="60"/>
    </row>
    <row r="1731">
      <c r="A1731" s="129"/>
      <c r="B1731" s="130"/>
      <c r="C1731" s="60"/>
      <c r="D1731" s="60"/>
      <c r="E1731" s="60"/>
      <c r="F1731" s="130"/>
      <c r="G1731" s="60"/>
      <c r="H1731" s="130"/>
      <c r="I1731" s="60"/>
      <c r="J1731" s="60"/>
      <c r="K1731" s="60"/>
      <c r="L1731" s="60"/>
      <c r="M1731" s="60"/>
    </row>
    <row r="1732">
      <c r="A1732" s="129"/>
      <c r="B1732" s="130"/>
      <c r="C1732" s="60"/>
      <c r="D1732" s="60"/>
      <c r="E1732" s="60"/>
      <c r="F1732" s="130"/>
      <c r="G1732" s="60"/>
      <c r="H1732" s="130"/>
      <c r="I1732" s="60"/>
      <c r="J1732" s="60"/>
      <c r="K1732" s="60"/>
      <c r="L1732" s="60"/>
      <c r="M1732" s="60"/>
    </row>
    <row r="1733">
      <c r="A1733" s="129"/>
      <c r="B1733" s="130"/>
      <c r="C1733" s="60"/>
      <c r="D1733" s="60"/>
      <c r="E1733" s="60"/>
      <c r="F1733" s="130"/>
      <c r="G1733" s="60"/>
      <c r="H1733" s="130"/>
      <c r="I1733" s="60"/>
      <c r="J1733" s="60"/>
      <c r="K1733" s="60"/>
      <c r="L1733" s="60"/>
      <c r="M1733" s="60"/>
    </row>
    <row r="1734">
      <c r="A1734" s="129"/>
      <c r="B1734" s="130"/>
      <c r="C1734" s="60"/>
      <c r="D1734" s="60"/>
      <c r="E1734" s="60"/>
      <c r="F1734" s="130"/>
      <c r="G1734" s="60"/>
      <c r="H1734" s="130"/>
      <c r="I1734" s="60"/>
      <c r="J1734" s="60"/>
      <c r="K1734" s="60"/>
      <c r="L1734" s="60"/>
      <c r="M1734" s="60"/>
    </row>
    <row r="1735">
      <c r="A1735" s="129"/>
      <c r="B1735" s="130"/>
      <c r="C1735" s="60"/>
      <c r="D1735" s="60"/>
      <c r="E1735" s="60"/>
      <c r="F1735" s="130"/>
      <c r="G1735" s="60"/>
      <c r="H1735" s="130"/>
      <c r="I1735" s="60"/>
      <c r="J1735" s="60"/>
      <c r="K1735" s="60"/>
      <c r="L1735" s="60"/>
      <c r="M1735" s="60"/>
    </row>
    <row r="1736">
      <c r="A1736" s="129"/>
      <c r="B1736" s="130"/>
      <c r="C1736" s="60"/>
      <c r="D1736" s="60"/>
      <c r="E1736" s="60"/>
      <c r="F1736" s="130"/>
      <c r="G1736" s="60"/>
      <c r="H1736" s="130"/>
      <c r="I1736" s="60"/>
      <c r="J1736" s="60"/>
      <c r="K1736" s="60"/>
      <c r="L1736" s="60"/>
      <c r="M1736" s="60"/>
    </row>
    <row r="1737">
      <c r="A1737" s="129"/>
      <c r="B1737" s="130"/>
      <c r="C1737" s="60"/>
      <c r="D1737" s="60"/>
      <c r="E1737" s="60"/>
      <c r="F1737" s="130"/>
      <c r="G1737" s="60"/>
      <c r="H1737" s="130"/>
      <c r="I1737" s="60"/>
      <c r="J1737" s="60"/>
      <c r="K1737" s="60"/>
      <c r="L1737" s="60"/>
      <c r="M1737" s="60"/>
    </row>
    <row r="1738">
      <c r="A1738" s="129"/>
      <c r="B1738" s="130"/>
      <c r="C1738" s="60"/>
      <c r="D1738" s="60"/>
      <c r="E1738" s="60"/>
      <c r="F1738" s="130"/>
      <c r="G1738" s="60"/>
      <c r="H1738" s="130"/>
      <c r="I1738" s="60"/>
      <c r="J1738" s="60"/>
      <c r="K1738" s="60"/>
      <c r="L1738" s="60"/>
      <c r="M1738" s="60"/>
    </row>
    <row r="1739">
      <c r="A1739" s="129"/>
      <c r="B1739" s="130"/>
      <c r="C1739" s="60"/>
      <c r="D1739" s="60"/>
      <c r="E1739" s="60"/>
      <c r="F1739" s="130"/>
      <c r="G1739" s="60"/>
      <c r="H1739" s="130"/>
      <c r="I1739" s="60"/>
      <c r="J1739" s="60"/>
      <c r="K1739" s="60"/>
      <c r="L1739" s="60"/>
      <c r="M1739" s="60"/>
    </row>
    <row r="1740">
      <c r="A1740" s="129"/>
      <c r="B1740" s="130"/>
      <c r="C1740" s="60"/>
      <c r="D1740" s="60"/>
      <c r="E1740" s="60"/>
      <c r="F1740" s="130"/>
      <c r="G1740" s="60"/>
      <c r="H1740" s="130"/>
      <c r="I1740" s="60"/>
      <c r="J1740" s="60"/>
      <c r="K1740" s="60"/>
      <c r="L1740" s="60"/>
      <c r="M1740" s="60"/>
    </row>
    <row r="1741">
      <c r="A1741" s="129"/>
      <c r="B1741" s="130"/>
      <c r="C1741" s="60"/>
      <c r="D1741" s="60"/>
      <c r="E1741" s="60"/>
      <c r="F1741" s="130"/>
      <c r="G1741" s="60"/>
      <c r="H1741" s="130"/>
      <c r="I1741" s="60"/>
      <c r="J1741" s="60"/>
      <c r="K1741" s="60"/>
      <c r="L1741" s="60"/>
      <c r="M1741" s="60"/>
    </row>
    <row r="1742">
      <c r="A1742" s="129"/>
      <c r="B1742" s="130"/>
      <c r="C1742" s="60"/>
      <c r="D1742" s="60"/>
      <c r="E1742" s="60"/>
      <c r="F1742" s="130"/>
      <c r="G1742" s="60"/>
      <c r="H1742" s="130"/>
      <c r="I1742" s="60"/>
      <c r="J1742" s="60"/>
      <c r="K1742" s="60"/>
      <c r="L1742" s="60"/>
      <c r="M1742" s="60"/>
    </row>
    <row r="1743">
      <c r="A1743" s="129"/>
      <c r="B1743" s="130"/>
      <c r="C1743" s="60"/>
      <c r="D1743" s="60"/>
      <c r="E1743" s="60"/>
      <c r="F1743" s="130"/>
      <c r="G1743" s="60"/>
      <c r="H1743" s="130"/>
      <c r="I1743" s="60"/>
      <c r="J1743" s="60"/>
      <c r="K1743" s="60"/>
      <c r="L1743" s="60"/>
      <c r="M1743" s="60"/>
    </row>
    <row r="1744">
      <c r="A1744" s="129"/>
      <c r="B1744" s="130"/>
      <c r="C1744" s="60"/>
      <c r="D1744" s="60"/>
      <c r="E1744" s="60"/>
      <c r="F1744" s="130"/>
      <c r="G1744" s="60"/>
      <c r="H1744" s="130"/>
      <c r="I1744" s="60"/>
      <c r="J1744" s="60"/>
      <c r="K1744" s="60"/>
      <c r="L1744" s="60"/>
      <c r="M1744" s="60"/>
    </row>
    <row r="1745">
      <c r="A1745" s="129"/>
      <c r="B1745" s="130"/>
      <c r="C1745" s="60"/>
      <c r="D1745" s="60"/>
      <c r="E1745" s="60"/>
      <c r="F1745" s="130"/>
      <c r="G1745" s="60"/>
      <c r="H1745" s="130"/>
      <c r="I1745" s="60"/>
      <c r="J1745" s="60"/>
      <c r="K1745" s="60"/>
      <c r="L1745" s="60"/>
      <c r="M1745" s="60"/>
    </row>
    <row r="1746">
      <c r="A1746" s="129"/>
      <c r="B1746" s="130"/>
      <c r="C1746" s="60"/>
      <c r="D1746" s="60"/>
      <c r="E1746" s="60"/>
      <c r="F1746" s="130"/>
      <c r="G1746" s="60"/>
      <c r="H1746" s="130"/>
      <c r="I1746" s="60"/>
      <c r="J1746" s="60"/>
      <c r="K1746" s="60"/>
      <c r="L1746" s="60"/>
      <c r="M1746" s="60"/>
    </row>
    <row r="1747">
      <c r="A1747" s="129"/>
      <c r="B1747" s="130"/>
      <c r="C1747" s="60"/>
      <c r="D1747" s="60"/>
      <c r="E1747" s="60"/>
      <c r="F1747" s="130"/>
      <c r="G1747" s="60"/>
      <c r="H1747" s="130"/>
      <c r="I1747" s="60"/>
      <c r="J1747" s="60"/>
      <c r="K1747" s="60"/>
      <c r="L1747" s="60"/>
      <c r="M1747" s="60"/>
    </row>
    <row r="1748">
      <c r="A1748" s="129"/>
      <c r="B1748" s="130"/>
      <c r="C1748" s="60"/>
      <c r="D1748" s="60"/>
      <c r="E1748" s="60"/>
      <c r="F1748" s="130"/>
      <c r="G1748" s="60"/>
      <c r="H1748" s="130"/>
      <c r="I1748" s="60"/>
      <c r="J1748" s="60"/>
      <c r="K1748" s="60"/>
      <c r="L1748" s="60"/>
      <c r="M1748" s="60"/>
    </row>
    <row r="1749">
      <c r="A1749" s="129"/>
      <c r="B1749" s="130"/>
      <c r="C1749" s="60"/>
      <c r="D1749" s="60"/>
      <c r="E1749" s="60"/>
      <c r="F1749" s="130"/>
      <c r="G1749" s="60"/>
      <c r="H1749" s="130"/>
      <c r="I1749" s="60"/>
      <c r="J1749" s="60"/>
      <c r="K1749" s="60"/>
      <c r="L1749" s="60"/>
      <c r="M1749" s="60"/>
    </row>
    <row r="1750">
      <c r="A1750" s="129"/>
      <c r="B1750" s="130"/>
      <c r="C1750" s="60"/>
      <c r="D1750" s="60"/>
      <c r="E1750" s="60"/>
      <c r="F1750" s="130"/>
      <c r="G1750" s="60"/>
      <c r="H1750" s="130"/>
      <c r="I1750" s="60"/>
      <c r="J1750" s="60"/>
      <c r="K1750" s="60"/>
      <c r="L1750" s="60"/>
      <c r="M1750" s="60"/>
    </row>
    <row r="1751">
      <c r="A1751" s="129"/>
      <c r="B1751" s="130"/>
      <c r="C1751" s="60"/>
      <c r="D1751" s="60"/>
      <c r="E1751" s="60"/>
      <c r="F1751" s="130"/>
      <c r="G1751" s="60"/>
      <c r="H1751" s="130"/>
      <c r="I1751" s="60"/>
      <c r="J1751" s="60"/>
      <c r="K1751" s="60"/>
      <c r="L1751" s="60"/>
      <c r="M1751" s="60"/>
    </row>
    <row r="1752">
      <c r="A1752" s="129"/>
      <c r="B1752" s="130"/>
      <c r="C1752" s="60"/>
      <c r="D1752" s="60"/>
      <c r="E1752" s="60"/>
      <c r="F1752" s="130"/>
      <c r="G1752" s="60"/>
      <c r="H1752" s="130"/>
      <c r="I1752" s="60"/>
      <c r="J1752" s="60"/>
      <c r="K1752" s="60"/>
      <c r="L1752" s="60"/>
      <c r="M1752" s="60"/>
    </row>
    <row r="1753">
      <c r="A1753" s="129"/>
      <c r="B1753" s="130"/>
      <c r="C1753" s="60"/>
      <c r="D1753" s="60"/>
      <c r="E1753" s="60"/>
      <c r="F1753" s="130"/>
      <c r="G1753" s="60"/>
      <c r="H1753" s="130"/>
      <c r="I1753" s="60"/>
      <c r="J1753" s="60"/>
      <c r="K1753" s="60"/>
      <c r="L1753" s="60"/>
      <c r="M1753" s="60"/>
    </row>
    <row r="1754">
      <c r="A1754" s="129"/>
      <c r="B1754" s="130"/>
      <c r="C1754" s="60"/>
      <c r="D1754" s="60"/>
      <c r="E1754" s="60"/>
      <c r="F1754" s="130"/>
      <c r="G1754" s="60"/>
      <c r="H1754" s="130"/>
      <c r="I1754" s="60"/>
      <c r="J1754" s="60"/>
      <c r="K1754" s="60"/>
      <c r="L1754" s="60"/>
      <c r="M1754" s="60"/>
    </row>
    <row r="1755">
      <c r="A1755" s="129"/>
      <c r="B1755" s="130"/>
      <c r="C1755" s="60"/>
      <c r="D1755" s="60"/>
      <c r="E1755" s="60"/>
      <c r="F1755" s="130"/>
      <c r="G1755" s="60"/>
      <c r="H1755" s="130"/>
      <c r="I1755" s="60"/>
      <c r="J1755" s="60"/>
      <c r="K1755" s="60"/>
      <c r="L1755" s="60"/>
      <c r="M1755" s="60"/>
    </row>
    <row r="1756">
      <c r="A1756" s="129"/>
      <c r="B1756" s="130"/>
      <c r="C1756" s="60"/>
      <c r="D1756" s="60"/>
      <c r="E1756" s="60"/>
      <c r="F1756" s="130"/>
      <c r="G1756" s="60"/>
      <c r="H1756" s="130"/>
      <c r="I1756" s="60"/>
      <c r="J1756" s="60"/>
      <c r="K1756" s="60"/>
      <c r="L1756" s="60"/>
      <c r="M1756" s="60"/>
    </row>
    <row r="1757">
      <c r="A1757" s="129"/>
      <c r="B1757" s="130"/>
      <c r="C1757" s="60"/>
      <c r="D1757" s="60"/>
      <c r="E1757" s="60"/>
      <c r="F1757" s="130"/>
      <c r="G1757" s="60"/>
      <c r="H1757" s="130"/>
      <c r="I1757" s="60"/>
      <c r="J1757" s="60"/>
      <c r="K1757" s="60"/>
      <c r="L1757" s="60"/>
      <c r="M1757" s="60"/>
    </row>
    <row r="1758">
      <c r="A1758" s="129"/>
      <c r="B1758" s="130"/>
      <c r="C1758" s="60"/>
      <c r="D1758" s="60"/>
      <c r="E1758" s="60"/>
      <c r="F1758" s="130"/>
      <c r="G1758" s="60"/>
      <c r="H1758" s="130"/>
      <c r="I1758" s="60"/>
      <c r="J1758" s="60"/>
      <c r="K1758" s="60"/>
      <c r="L1758" s="60"/>
      <c r="M1758" s="60"/>
    </row>
    <row r="1759">
      <c r="A1759" s="129"/>
      <c r="B1759" s="130"/>
      <c r="C1759" s="60"/>
      <c r="D1759" s="60"/>
      <c r="E1759" s="60"/>
      <c r="F1759" s="130"/>
      <c r="G1759" s="60"/>
      <c r="H1759" s="130"/>
      <c r="I1759" s="60"/>
      <c r="J1759" s="60"/>
      <c r="K1759" s="60"/>
      <c r="L1759" s="60"/>
      <c r="M1759" s="60"/>
    </row>
    <row r="1760">
      <c r="A1760" s="129"/>
      <c r="B1760" s="130"/>
      <c r="C1760" s="60"/>
      <c r="D1760" s="60"/>
      <c r="E1760" s="60"/>
      <c r="F1760" s="130"/>
      <c r="G1760" s="60"/>
      <c r="H1760" s="130"/>
      <c r="I1760" s="60"/>
      <c r="J1760" s="60"/>
      <c r="K1760" s="60"/>
      <c r="L1760" s="60"/>
      <c r="M1760" s="60"/>
    </row>
    <row r="1761">
      <c r="A1761" s="129"/>
      <c r="B1761" s="130"/>
      <c r="C1761" s="60"/>
      <c r="D1761" s="60"/>
      <c r="E1761" s="60"/>
      <c r="F1761" s="130"/>
      <c r="G1761" s="60"/>
      <c r="H1761" s="130"/>
      <c r="I1761" s="60"/>
      <c r="J1761" s="60"/>
      <c r="K1761" s="60"/>
      <c r="L1761" s="60"/>
      <c r="M1761" s="60"/>
    </row>
    <row r="1762">
      <c r="A1762" s="129"/>
      <c r="B1762" s="130"/>
      <c r="C1762" s="60"/>
      <c r="D1762" s="60"/>
      <c r="E1762" s="60"/>
      <c r="F1762" s="130"/>
      <c r="G1762" s="60"/>
      <c r="H1762" s="130"/>
      <c r="I1762" s="60"/>
      <c r="J1762" s="60"/>
      <c r="K1762" s="60"/>
      <c r="L1762" s="60"/>
      <c r="M1762" s="60"/>
    </row>
    <row r="1763">
      <c r="A1763" s="129"/>
      <c r="B1763" s="130"/>
      <c r="C1763" s="60"/>
      <c r="D1763" s="60"/>
      <c r="E1763" s="60"/>
      <c r="F1763" s="130"/>
      <c r="G1763" s="60"/>
      <c r="H1763" s="130"/>
      <c r="I1763" s="60"/>
      <c r="J1763" s="60"/>
      <c r="K1763" s="60"/>
      <c r="L1763" s="60"/>
      <c r="M1763" s="60"/>
    </row>
    <row r="1764">
      <c r="A1764" s="129"/>
      <c r="B1764" s="130"/>
      <c r="C1764" s="60"/>
      <c r="D1764" s="60"/>
      <c r="E1764" s="60"/>
      <c r="F1764" s="130"/>
      <c r="G1764" s="60"/>
      <c r="H1764" s="130"/>
      <c r="I1764" s="60"/>
      <c r="J1764" s="60"/>
      <c r="K1764" s="60"/>
      <c r="L1764" s="60"/>
      <c r="M1764" s="60"/>
    </row>
    <row r="1765">
      <c r="A1765" s="129"/>
      <c r="B1765" s="130"/>
      <c r="C1765" s="60"/>
      <c r="D1765" s="60"/>
      <c r="E1765" s="60"/>
      <c r="F1765" s="130"/>
      <c r="G1765" s="60"/>
      <c r="H1765" s="130"/>
      <c r="I1765" s="60"/>
      <c r="J1765" s="60"/>
      <c r="K1765" s="60"/>
      <c r="L1765" s="60"/>
      <c r="M1765" s="60"/>
    </row>
    <row r="1766">
      <c r="A1766" s="129"/>
      <c r="B1766" s="130"/>
      <c r="C1766" s="60"/>
      <c r="D1766" s="60"/>
      <c r="E1766" s="60"/>
      <c r="F1766" s="130"/>
      <c r="G1766" s="60"/>
      <c r="H1766" s="130"/>
      <c r="I1766" s="60"/>
      <c r="J1766" s="60"/>
      <c r="K1766" s="60"/>
      <c r="L1766" s="60"/>
      <c r="M1766" s="60"/>
    </row>
    <row r="1767">
      <c r="A1767" s="129"/>
      <c r="B1767" s="130"/>
      <c r="C1767" s="60"/>
      <c r="D1767" s="60"/>
      <c r="E1767" s="60"/>
      <c r="F1767" s="130"/>
      <c r="G1767" s="60"/>
      <c r="H1767" s="130"/>
      <c r="I1767" s="60"/>
      <c r="J1767" s="60"/>
      <c r="K1767" s="60"/>
      <c r="L1767" s="60"/>
      <c r="M1767" s="60"/>
    </row>
    <row r="1768">
      <c r="A1768" s="129"/>
      <c r="B1768" s="130"/>
      <c r="C1768" s="60"/>
      <c r="D1768" s="60"/>
      <c r="E1768" s="60"/>
      <c r="F1768" s="130"/>
      <c r="G1768" s="60"/>
      <c r="H1768" s="130"/>
      <c r="I1768" s="60"/>
      <c r="J1768" s="60"/>
      <c r="K1768" s="60"/>
      <c r="L1768" s="60"/>
      <c r="M1768" s="60"/>
    </row>
    <row r="1769">
      <c r="A1769" s="129"/>
      <c r="B1769" s="130"/>
      <c r="C1769" s="60"/>
      <c r="D1769" s="60"/>
      <c r="E1769" s="60"/>
      <c r="F1769" s="130"/>
      <c r="G1769" s="60"/>
      <c r="H1769" s="130"/>
      <c r="I1769" s="60"/>
      <c r="J1769" s="60"/>
      <c r="K1769" s="60"/>
      <c r="L1769" s="60"/>
      <c r="M1769" s="60"/>
    </row>
    <row r="1770">
      <c r="A1770" s="129"/>
      <c r="B1770" s="130"/>
      <c r="C1770" s="60"/>
      <c r="D1770" s="60"/>
      <c r="E1770" s="60"/>
      <c r="F1770" s="130"/>
      <c r="G1770" s="60"/>
      <c r="H1770" s="130"/>
      <c r="I1770" s="60"/>
      <c r="J1770" s="60"/>
      <c r="K1770" s="60"/>
      <c r="L1770" s="60"/>
      <c r="M1770" s="60"/>
    </row>
    <row r="1771">
      <c r="A1771" s="129"/>
      <c r="B1771" s="130"/>
      <c r="C1771" s="60"/>
      <c r="D1771" s="60"/>
      <c r="E1771" s="60"/>
      <c r="F1771" s="130"/>
      <c r="G1771" s="60"/>
      <c r="H1771" s="130"/>
      <c r="I1771" s="60"/>
      <c r="J1771" s="60"/>
      <c r="K1771" s="60"/>
      <c r="L1771" s="60"/>
      <c r="M1771" s="60"/>
    </row>
    <row r="1772">
      <c r="A1772" s="129"/>
      <c r="B1772" s="130"/>
      <c r="C1772" s="60"/>
      <c r="D1772" s="60"/>
      <c r="E1772" s="60"/>
      <c r="F1772" s="130"/>
      <c r="G1772" s="60"/>
      <c r="H1772" s="130"/>
      <c r="I1772" s="60"/>
      <c r="J1772" s="60"/>
      <c r="K1772" s="60"/>
      <c r="L1772" s="60"/>
      <c r="M1772" s="60"/>
    </row>
    <row r="1773">
      <c r="A1773" s="129"/>
      <c r="B1773" s="130"/>
      <c r="C1773" s="60"/>
      <c r="D1773" s="60"/>
      <c r="E1773" s="60"/>
      <c r="F1773" s="130"/>
      <c r="G1773" s="60"/>
      <c r="H1773" s="130"/>
      <c r="I1773" s="60"/>
      <c r="J1773" s="60"/>
      <c r="K1773" s="60"/>
      <c r="L1773" s="60"/>
      <c r="M1773" s="60"/>
    </row>
    <row r="1774">
      <c r="A1774" s="129"/>
      <c r="B1774" s="130"/>
      <c r="C1774" s="60"/>
      <c r="D1774" s="60"/>
      <c r="E1774" s="60"/>
      <c r="F1774" s="130"/>
      <c r="G1774" s="60"/>
      <c r="H1774" s="130"/>
      <c r="I1774" s="60"/>
      <c r="J1774" s="60"/>
      <c r="K1774" s="60"/>
      <c r="L1774" s="60"/>
      <c r="M1774" s="60"/>
    </row>
    <row r="1775">
      <c r="A1775" s="129"/>
      <c r="B1775" s="130"/>
      <c r="C1775" s="60"/>
      <c r="D1775" s="60"/>
      <c r="E1775" s="60"/>
      <c r="F1775" s="130"/>
      <c r="G1775" s="60"/>
      <c r="H1775" s="130"/>
      <c r="I1775" s="60"/>
      <c r="J1775" s="60"/>
      <c r="K1775" s="60"/>
      <c r="L1775" s="60"/>
      <c r="M1775" s="60"/>
    </row>
    <row r="1776">
      <c r="A1776" s="129"/>
      <c r="B1776" s="130"/>
      <c r="C1776" s="60"/>
      <c r="D1776" s="60"/>
      <c r="E1776" s="60"/>
      <c r="F1776" s="130"/>
      <c r="G1776" s="60"/>
      <c r="H1776" s="130"/>
      <c r="I1776" s="60"/>
      <c r="J1776" s="60"/>
      <c r="K1776" s="60"/>
      <c r="L1776" s="60"/>
      <c r="M1776" s="60"/>
    </row>
    <row r="1777">
      <c r="A1777" s="129"/>
      <c r="B1777" s="130"/>
      <c r="C1777" s="60"/>
      <c r="D1777" s="60"/>
      <c r="E1777" s="60"/>
      <c r="F1777" s="130"/>
      <c r="G1777" s="60"/>
      <c r="H1777" s="130"/>
      <c r="I1777" s="60"/>
      <c r="J1777" s="60"/>
      <c r="K1777" s="60"/>
      <c r="L1777" s="60"/>
      <c r="M1777" s="60"/>
    </row>
    <row r="1778">
      <c r="A1778" s="129"/>
      <c r="B1778" s="130"/>
      <c r="C1778" s="60"/>
      <c r="D1778" s="60"/>
      <c r="E1778" s="60"/>
      <c r="F1778" s="130"/>
      <c r="G1778" s="60"/>
      <c r="H1778" s="130"/>
      <c r="I1778" s="60"/>
      <c r="J1778" s="60"/>
      <c r="K1778" s="60"/>
      <c r="L1778" s="60"/>
      <c r="M1778" s="60"/>
    </row>
    <row r="1779">
      <c r="A1779" s="129"/>
      <c r="B1779" s="130"/>
      <c r="C1779" s="60"/>
      <c r="D1779" s="60"/>
      <c r="E1779" s="60"/>
      <c r="F1779" s="130"/>
      <c r="G1779" s="60"/>
      <c r="H1779" s="130"/>
      <c r="I1779" s="60"/>
      <c r="J1779" s="60"/>
      <c r="K1779" s="60"/>
      <c r="L1779" s="60"/>
      <c r="M1779" s="60"/>
    </row>
    <row r="1780">
      <c r="A1780" s="129"/>
      <c r="B1780" s="130"/>
      <c r="C1780" s="60"/>
      <c r="D1780" s="60"/>
      <c r="E1780" s="60"/>
      <c r="F1780" s="130"/>
      <c r="G1780" s="60"/>
      <c r="H1780" s="130"/>
      <c r="I1780" s="60"/>
      <c r="J1780" s="60"/>
      <c r="K1780" s="60"/>
      <c r="L1780" s="60"/>
      <c r="M1780" s="60"/>
    </row>
    <row r="1781">
      <c r="A1781" s="129"/>
      <c r="B1781" s="130"/>
      <c r="C1781" s="60"/>
      <c r="D1781" s="60"/>
      <c r="E1781" s="60"/>
      <c r="F1781" s="130"/>
      <c r="G1781" s="60"/>
      <c r="H1781" s="130"/>
      <c r="I1781" s="60"/>
      <c r="J1781" s="60"/>
      <c r="K1781" s="60"/>
      <c r="L1781" s="60"/>
      <c r="M1781" s="60"/>
    </row>
    <row r="1782">
      <c r="A1782" s="129"/>
      <c r="B1782" s="130"/>
      <c r="C1782" s="60"/>
      <c r="D1782" s="60"/>
      <c r="E1782" s="60"/>
      <c r="F1782" s="130"/>
      <c r="G1782" s="60"/>
      <c r="H1782" s="130"/>
      <c r="I1782" s="60"/>
      <c r="J1782" s="60"/>
      <c r="K1782" s="60"/>
      <c r="L1782" s="60"/>
      <c r="M1782" s="60"/>
    </row>
    <row r="1783">
      <c r="A1783" s="129"/>
      <c r="B1783" s="130"/>
      <c r="C1783" s="60"/>
      <c r="D1783" s="60"/>
      <c r="E1783" s="60"/>
      <c r="F1783" s="130"/>
      <c r="G1783" s="60"/>
      <c r="H1783" s="130"/>
      <c r="I1783" s="60"/>
      <c r="J1783" s="60"/>
      <c r="K1783" s="60"/>
      <c r="L1783" s="60"/>
      <c r="M1783" s="60"/>
    </row>
    <row r="1784">
      <c r="A1784" s="129"/>
      <c r="B1784" s="130"/>
      <c r="C1784" s="60"/>
      <c r="D1784" s="60"/>
      <c r="E1784" s="60"/>
      <c r="F1784" s="130"/>
      <c r="G1784" s="60"/>
      <c r="H1784" s="130"/>
      <c r="I1784" s="60"/>
      <c r="J1784" s="60"/>
      <c r="K1784" s="60"/>
      <c r="L1784" s="60"/>
      <c r="M1784" s="60"/>
    </row>
    <row r="1785">
      <c r="A1785" s="129"/>
      <c r="B1785" s="130"/>
      <c r="C1785" s="60"/>
      <c r="D1785" s="60"/>
      <c r="E1785" s="60"/>
      <c r="F1785" s="130"/>
      <c r="G1785" s="60"/>
      <c r="H1785" s="130"/>
      <c r="I1785" s="60"/>
      <c r="J1785" s="60"/>
      <c r="K1785" s="60"/>
      <c r="L1785" s="60"/>
      <c r="M1785" s="60"/>
    </row>
    <row r="1786">
      <c r="A1786" s="129"/>
      <c r="B1786" s="130"/>
      <c r="C1786" s="60"/>
      <c r="D1786" s="60"/>
      <c r="E1786" s="60"/>
      <c r="F1786" s="130"/>
      <c r="G1786" s="60"/>
      <c r="H1786" s="130"/>
      <c r="I1786" s="60"/>
      <c r="J1786" s="60"/>
      <c r="K1786" s="60"/>
      <c r="L1786" s="60"/>
      <c r="M1786" s="60"/>
    </row>
    <row r="1787">
      <c r="A1787" s="129"/>
      <c r="B1787" s="130"/>
      <c r="C1787" s="60"/>
      <c r="D1787" s="60"/>
      <c r="E1787" s="60"/>
      <c r="F1787" s="130"/>
      <c r="G1787" s="60"/>
      <c r="H1787" s="130"/>
      <c r="I1787" s="60"/>
      <c r="J1787" s="60"/>
      <c r="K1787" s="60"/>
      <c r="L1787" s="60"/>
      <c r="M1787" s="60"/>
    </row>
    <row r="1788">
      <c r="A1788" s="129"/>
      <c r="B1788" s="130"/>
      <c r="C1788" s="60"/>
      <c r="D1788" s="60"/>
      <c r="E1788" s="60"/>
      <c r="F1788" s="130"/>
      <c r="G1788" s="60"/>
      <c r="H1788" s="130"/>
      <c r="I1788" s="60"/>
      <c r="J1788" s="60"/>
      <c r="K1788" s="60"/>
      <c r="L1788" s="60"/>
      <c r="M1788" s="60"/>
    </row>
    <row r="1789">
      <c r="A1789" s="129"/>
      <c r="B1789" s="130"/>
      <c r="C1789" s="60"/>
      <c r="D1789" s="60"/>
      <c r="E1789" s="60"/>
      <c r="F1789" s="130"/>
      <c r="G1789" s="60"/>
      <c r="H1789" s="130"/>
      <c r="I1789" s="60"/>
      <c r="J1789" s="60"/>
      <c r="K1789" s="60"/>
      <c r="L1789" s="60"/>
      <c r="M1789" s="60"/>
    </row>
    <row r="1790">
      <c r="A1790" s="129"/>
      <c r="B1790" s="130"/>
      <c r="C1790" s="60"/>
      <c r="D1790" s="60"/>
      <c r="E1790" s="60"/>
      <c r="F1790" s="130"/>
      <c r="G1790" s="60"/>
      <c r="H1790" s="130"/>
      <c r="I1790" s="60"/>
      <c r="J1790" s="60"/>
      <c r="K1790" s="60"/>
      <c r="L1790" s="60"/>
      <c r="M1790" s="60"/>
    </row>
    <row r="1791">
      <c r="A1791" s="129"/>
      <c r="B1791" s="130"/>
      <c r="C1791" s="60"/>
      <c r="D1791" s="60"/>
      <c r="E1791" s="60"/>
      <c r="F1791" s="130"/>
      <c r="G1791" s="60"/>
      <c r="H1791" s="130"/>
      <c r="I1791" s="60"/>
      <c r="J1791" s="60"/>
      <c r="K1791" s="60"/>
      <c r="L1791" s="60"/>
      <c r="M1791" s="60"/>
    </row>
    <row r="1792">
      <c r="A1792" s="129"/>
      <c r="B1792" s="130"/>
      <c r="C1792" s="60"/>
      <c r="D1792" s="60"/>
      <c r="E1792" s="60"/>
      <c r="F1792" s="130"/>
      <c r="G1792" s="60"/>
      <c r="H1792" s="130"/>
      <c r="I1792" s="60"/>
      <c r="J1792" s="60"/>
      <c r="K1792" s="60"/>
      <c r="L1792" s="60"/>
      <c r="M1792" s="60"/>
    </row>
    <row r="1793">
      <c r="A1793" s="129"/>
      <c r="B1793" s="130"/>
      <c r="C1793" s="60"/>
      <c r="D1793" s="60"/>
      <c r="E1793" s="60"/>
      <c r="F1793" s="130"/>
      <c r="G1793" s="60"/>
      <c r="H1793" s="130"/>
      <c r="I1793" s="60"/>
      <c r="J1793" s="60"/>
      <c r="K1793" s="60"/>
      <c r="L1793" s="60"/>
      <c r="M1793" s="60"/>
    </row>
    <row r="1794">
      <c r="A1794" s="129"/>
      <c r="B1794" s="130"/>
      <c r="C1794" s="60"/>
      <c r="D1794" s="60"/>
      <c r="E1794" s="60"/>
      <c r="F1794" s="130"/>
      <c r="G1794" s="60"/>
      <c r="H1794" s="130"/>
      <c r="I1794" s="60"/>
      <c r="J1794" s="60"/>
      <c r="K1794" s="60"/>
      <c r="L1794" s="60"/>
      <c r="M1794" s="60"/>
    </row>
    <row r="1795">
      <c r="A1795" s="129"/>
      <c r="B1795" s="130"/>
      <c r="C1795" s="60"/>
      <c r="D1795" s="60"/>
      <c r="E1795" s="60"/>
      <c r="F1795" s="130"/>
      <c r="G1795" s="60"/>
      <c r="H1795" s="130"/>
      <c r="I1795" s="60"/>
      <c r="J1795" s="60"/>
      <c r="K1795" s="60"/>
      <c r="L1795" s="60"/>
      <c r="M1795" s="60"/>
    </row>
    <row r="1796">
      <c r="A1796" s="129"/>
      <c r="B1796" s="130"/>
      <c r="C1796" s="60"/>
      <c r="D1796" s="60"/>
      <c r="E1796" s="60"/>
      <c r="F1796" s="130"/>
      <c r="G1796" s="60"/>
      <c r="H1796" s="130"/>
      <c r="I1796" s="60"/>
      <c r="J1796" s="60"/>
      <c r="K1796" s="60"/>
      <c r="L1796" s="60"/>
      <c r="M1796" s="60"/>
    </row>
    <row r="1797">
      <c r="A1797" s="129"/>
      <c r="B1797" s="130"/>
      <c r="C1797" s="60"/>
      <c r="D1797" s="60"/>
      <c r="E1797" s="60"/>
      <c r="F1797" s="130"/>
      <c r="G1797" s="60"/>
      <c r="H1797" s="130"/>
      <c r="I1797" s="60"/>
      <c r="J1797" s="60"/>
      <c r="K1797" s="60"/>
      <c r="L1797" s="60"/>
      <c r="M1797" s="60"/>
    </row>
    <row r="1798">
      <c r="A1798" s="129"/>
      <c r="B1798" s="130"/>
      <c r="C1798" s="60"/>
      <c r="D1798" s="60"/>
      <c r="E1798" s="60"/>
      <c r="F1798" s="130"/>
      <c r="G1798" s="60"/>
      <c r="H1798" s="130"/>
      <c r="I1798" s="60"/>
      <c r="J1798" s="60"/>
      <c r="K1798" s="60"/>
      <c r="L1798" s="60"/>
      <c r="M1798" s="60"/>
    </row>
    <row r="1799">
      <c r="A1799" s="129"/>
      <c r="B1799" s="130"/>
      <c r="C1799" s="60"/>
      <c r="D1799" s="60"/>
      <c r="E1799" s="60"/>
      <c r="F1799" s="130"/>
      <c r="G1799" s="60"/>
      <c r="H1799" s="130"/>
      <c r="I1799" s="60"/>
      <c r="J1799" s="60"/>
      <c r="K1799" s="60"/>
      <c r="L1799" s="60"/>
      <c r="M1799" s="60"/>
    </row>
    <row r="1800">
      <c r="A1800" s="129"/>
      <c r="B1800" s="130"/>
      <c r="C1800" s="60"/>
      <c r="D1800" s="60"/>
      <c r="E1800" s="60"/>
      <c r="F1800" s="130"/>
      <c r="G1800" s="60"/>
      <c r="H1800" s="130"/>
      <c r="I1800" s="60"/>
      <c r="J1800" s="60"/>
      <c r="K1800" s="60"/>
      <c r="L1800" s="60"/>
      <c r="M1800" s="60"/>
    </row>
    <row r="1801">
      <c r="A1801" s="129"/>
      <c r="B1801" s="130"/>
      <c r="C1801" s="60"/>
      <c r="D1801" s="60"/>
      <c r="E1801" s="60"/>
      <c r="F1801" s="130"/>
      <c r="G1801" s="60"/>
      <c r="H1801" s="130"/>
      <c r="I1801" s="60"/>
      <c r="J1801" s="60"/>
      <c r="K1801" s="60"/>
      <c r="L1801" s="60"/>
      <c r="M1801" s="60"/>
    </row>
    <row r="1802">
      <c r="A1802" s="129"/>
      <c r="B1802" s="130"/>
      <c r="C1802" s="60"/>
      <c r="D1802" s="60"/>
      <c r="E1802" s="60"/>
      <c r="F1802" s="130"/>
      <c r="G1802" s="60"/>
      <c r="H1802" s="130"/>
      <c r="I1802" s="60"/>
      <c r="J1802" s="60"/>
      <c r="K1802" s="60"/>
      <c r="L1802" s="60"/>
      <c r="M1802" s="60"/>
    </row>
    <row r="1803">
      <c r="A1803" s="129"/>
      <c r="B1803" s="130"/>
      <c r="C1803" s="60"/>
      <c r="D1803" s="60"/>
      <c r="E1803" s="60"/>
      <c r="F1803" s="130"/>
      <c r="G1803" s="60"/>
      <c r="H1803" s="130"/>
      <c r="I1803" s="60"/>
      <c r="J1803" s="60"/>
      <c r="K1803" s="60"/>
      <c r="L1803" s="60"/>
      <c r="M1803" s="60"/>
    </row>
    <row r="1804">
      <c r="A1804" s="129"/>
      <c r="B1804" s="130"/>
      <c r="C1804" s="60"/>
      <c r="D1804" s="60"/>
      <c r="E1804" s="60"/>
      <c r="F1804" s="130"/>
      <c r="G1804" s="60"/>
      <c r="H1804" s="130"/>
      <c r="I1804" s="60"/>
      <c r="J1804" s="60"/>
      <c r="K1804" s="60"/>
      <c r="L1804" s="60"/>
      <c r="M1804" s="60"/>
    </row>
    <row r="1805">
      <c r="A1805" s="129"/>
      <c r="B1805" s="130"/>
      <c r="C1805" s="60"/>
      <c r="D1805" s="60"/>
      <c r="E1805" s="60"/>
      <c r="F1805" s="130"/>
      <c r="G1805" s="60"/>
      <c r="H1805" s="130"/>
      <c r="I1805" s="60"/>
      <c r="J1805" s="60"/>
      <c r="K1805" s="60"/>
      <c r="L1805" s="60"/>
      <c r="M1805" s="60"/>
    </row>
    <row r="1806">
      <c r="A1806" s="129"/>
      <c r="B1806" s="130"/>
      <c r="C1806" s="60"/>
      <c r="D1806" s="60"/>
      <c r="E1806" s="60"/>
      <c r="F1806" s="130"/>
      <c r="G1806" s="60"/>
      <c r="H1806" s="130"/>
      <c r="I1806" s="60"/>
      <c r="J1806" s="60"/>
      <c r="K1806" s="60"/>
      <c r="L1806" s="60"/>
      <c r="M1806" s="60"/>
    </row>
    <row r="1807">
      <c r="A1807" s="129"/>
      <c r="B1807" s="130"/>
      <c r="C1807" s="60"/>
      <c r="D1807" s="60"/>
      <c r="E1807" s="60"/>
      <c r="F1807" s="130"/>
      <c r="G1807" s="60"/>
      <c r="H1807" s="130"/>
      <c r="I1807" s="60"/>
      <c r="J1807" s="60"/>
      <c r="K1807" s="60"/>
      <c r="L1807" s="60"/>
      <c r="M1807" s="60"/>
    </row>
    <row r="1808">
      <c r="A1808" s="129"/>
      <c r="B1808" s="130"/>
      <c r="C1808" s="60"/>
      <c r="D1808" s="60"/>
      <c r="E1808" s="60"/>
      <c r="F1808" s="130"/>
      <c r="G1808" s="60"/>
      <c r="H1808" s="130"/>
      <c r="I1808" s="60"/>
      <c r="J1808" s="60"/>
      <c r="K1808" s="60"/>
      <c r="L1808" s="60"/>
      <c r="M1808" s="60"/>
    </row>
    <row r="1809">
      <c r="A1809" s="129"/>
      <c r="B1809" s="130"/>
      <c r="C1809" s="60"/>
      <c r="D1809" s="60"/>
      <c r="E1809" s="60"/>
      <c r="F1809" s="130"/>
      <c r="G1809" s="60"/>
      <c r="H1809" s="130"/>
      <c r="I1809" s="60"/>
      <c r="J1809" s="60"/>
      <c r="K1809" s="60"/>
      <c r="L1809" s="60"/>
      <c r="M1809" s="60"/>
    </row>
    <row r="1810">
      <c r="A1810" s="129"/>
      <c r="B1810" s="130"/>
      <c r="C1810" s="60"/>
      <c r="D1810" s="60"/>
      <c r="E1810" s="60"/>
      <c r="F1810" s="130"/>
      <c r="G1810" s="60"/>
      <c r="H1810" s="130"/>
      <c r="I1810" s="60"/>
      <c r="J1810" s="60"/>
      <c r="K1810" s="60"/>
      <c r="L1810" s="60"/>
      <c r="M1810" s="60"/>
    </row>
    <row r="1811">
      <c r="A1811" s="129"/>
      <c r="B1811" s="130"/>
      <c r="C1811" s="60"/>
      <c r="D1811" s="60"/>
      <c r="E1811" s="60"/>
      <c r="F1811" s="130"/>
      <c r="G1811" s="60"/>
      <c r="H1811" s="130"/>
      <c r="I1811" s="60"/>
      <c r="J1811" s="60"/>
      <c r="K1811" s="60"/>
      <c r="L1811" s="60"/>
      <c r="M1811" s="60"/>
    </row>
    <row r="1812">
      <c r="A1812" s="129"/>
      <c r="B1812" s="130"/>
      <c r="C1812" s="60"/>
      <c r="D1812" s="60"/>
      <c r="E1812" s="60"/>
      <c r="F1812" s="130"/>
      <c r="G1812" s="60"/>
      <c r="H1812" s="130"/>
      <c r="I1812" s="60"/>
      <c r="J1812" s="60"/>
      <c r="K1812" s="60"/>
      <c r="L1812" s="60"/>
      <c r="M1812" s="60"/>
    </row>
    <row r="1813">
      <c r="A1813" s="129"/>
      <c r="B1813" s="130"/>
      <c r="C1813" s="60"/>
      <c r="D1813" s="60"/>
      <c r="E1813" s="60"/>
      <c r="F1813" s="130"/>
      <c r="G1813" s="60"/>
      <c r="H1813" s="130"/>
      <c r="I1813" s="60"/>
      <c r="J1813" s="60"/>
      <c r="K1813" s="60"/>
      <c r="L1813" s="60"/>
      <c r="M1813" s="60"/>
    </row>
    <row r="1814">
      <c r="A1814" s="129"/>
      <c r="B1814" s="130"/>
      <c r="C1814" s="60"/>
      <c r="D1814" s="60"/>
      <c r="E1814" s="60"/>
      <c r="F1814" s="130"/>
      <c r="G1814" s="60"/>
      <c r="H1814" s="130"/>
      <c r="I1814" s="60"/>
      <c r="J1814" s="60"/>
      <c r="K1814" s="60"/>
      <c r="L1814" s="60"/>
      <c r="M1814" s="60"/>
    </row>
    <row r="1815">
      <c r="A1815" s="129"/>
      <c r="B1815" s="130"/>
      <c r="C1815" s="60"/>
      <c r="D1815" s="60"/>
      <c r="E1815" s="60"/>
      <c r="F1815" s="130"/>
      <c r="G1815" s="60"/>
      <c r="H1815" s="130"/>
      <c r="I1815" s="60"/>
      <c r="J1815" s="60"/>
      <c r="K1815" s="60"/>
      <c r="L1815" s="60"/>
      <c r="M1815" s="60"/>
    </row>
    <row r="1816">
      <c r="A1816" s="129"/>
      <c r="B1816" s="130"/>
      <c r="C1816" s="60"/>
      <c r="D1816" s="60"/>
      <c r="E1816" s="60"/>
      <c r="F1816" s="130"/>
      <c r="G1816" s="60"/>
      <c r="H1816" s="130"/>
      <c r="I1816" s="60"/>
      <c r="J1816" s="60"/>
      <c r="K1816" s="60"/>
      <c r="L1816" s="60"/>
      <c r="M1816" s="60"/>
    </row>
    <row r="1817">
      <c r="A1817" s="129"/>
      <c r="B1817" s="130"/>
      <c r="C1817" s="60"/>
      <c r="D1817" s="60"/>
      <c r="E1817" s="60"/>
      <c r="F1817" s="130"/>
      <c r="G1817" s="60"/>
      <c r="H1817" s="130"/>
      <c r="I1817" s="60"/>
      <c r="J1817" s="60"/>
      <c r="K1817" s="60"/>
      <c r="L1817" s="60"/>
      <c r="M1817" s="60"/>
    </row>
    <row r="1818">
      <c r="A1818" s="129"/>
      <c r="B1818" s="130"/>
      <c r="C1818" s="60"/>
      <c r="D1818" s="60"/>
      <c r="E1818" s="60"/>
      <c r="F1818" s="130"/>
      <c r="G1818" s="60"/>
      <c r="H1818" s="130"/>
      <c r="I1818" s="60"/>
      <c r="J1818" s="60"/>
      <c r="K1818" s="60"/>
      <c r="L1818" s="60"/>
      <c r="M1818" s="60"/>
    </row>
    <row r="1819">
      <c r="A1819" s="129"/>
      <c r="B1819" s="130"/>
      <c r="C1819" s="60"/>
      <c r="D1819" s="60"/>
      <c r="E1819" s="60"/>
      <c r="F1819" s="130"/>
      <c r="G1819" s="60"/>
      <c r="H1819" s="130"/>
      <c r="I1819" s="60"/>
      <c r="J1819" s="60"/>
      <c r="K1819" s="60"/>
      <c r="L1819" s="60"/>
      <c r="M1819" s="60"/>
    </row>
    <row r="1820">
      <c r="A1820" s="129"/>
      <c r="B1820" s="130"/>
      <c r="C1820" s="60"/>
      <c r="D1820" s="60"/>
      <c r="E1820" s="60"/>
      <c r="F1820" s="130"/>
      <c r="G1820" s="60"/>
      <c r="H1820" s="130"/>
      <c r="I1820" s="60"/>
      <c r="J1820" s="60"/>
      <c r="K1820" s="60"/>
      <c r="L1820" s="60"/>
      <c r="M1820" s="60"/>
    </row>
    <row r="1821">
      <c r="A1821" s="129"/>
      <c r="B1821" s="130"/>
      <c r="C1821" s="60"/>
      <c r="D1821" s="60"/>
      <c r="E1821" s="60"/>
      <c r="F1821" s="130"/>
      <c r="G1821" s="60"/>
      <c r="H1821" s="130"/>
      <c r="I1821" s="60"/>
      <c r="J1821" s="60"/>
      <c r="K1821" s="60"/>
      <c r="L1821" s="60"/>
      <c r="M1821" s="60"/>
    </row>
    <row r="1822">
      <c r="A1822" s="129"/>
      <c r="B1822" s="130"/>
      <c r="C1822" s="60"/>
      <c r="D1822" s="60"/>
      <c r="E1822" s="60"/>
      <c r="F1822" s="130"/>
      <c r="G1822" s="60"/>
      <c r="H1822" s="130"/>
      <c r="I1822" s="60"/>
      <c r="J1822" s="60"/>
      <c r="K1822" s="60"/>
      <c r="L1822" s="60"/>
      <c r="M1822" s="60"/>
    </row>
    <row r="1823">
      <c r="A1823" s="129"/>
      <c r="B1823" s="130"/>
      <c r="C1823" s="60"/>
      <c r="D1823" s="60"/>
      <c r="E1823" s="60"/>
      <c r="F1823" s="130"/>
      <c r="G1823" s="60"/>
      <c r="H1823" s="130"/>
      <c r="I1823" s="60"/>
      <c r="J1823" s="60"/>
      <c r="K1823" s="60"/>
      <c r="L1823" s="60"/>
      <c r="M1823" s="60"/>
    </row>
    <row r="1824">
      <c r="A1824" s="129"/>
      <c r="B1824" s="130"/>
      <c r="C1824" s="60"/>
      <c r="D1824" s="60"/>
      <c r="E1824" s="60"/>
      <c r="F1824" s="130"/>
      <c r="G1824" s="60"/>
      <c r="H1824" s="130"/>
      <c r="I1824" s="60"/>
      <c r="J1824" s="60"/>
      <c r="K1824" s="60"/>
      <c r="L1824" s="60"/>
      <c r="M1824" s="60"/>
    </row>
    <row r="1825">
      <c r="A1825" s="129"/>
      <c r="B1825" s="130"/>
      <c r="C1825" s="60"/>
      <c r="D1825" s="60"/>
      <c r="E1825" s="60"/>
      <c r="F1825" s="130"/>
      <c r="G1825" s="60"/>
      <c r="H1825" s="130"/>
      <c r="I1825" s="60"/>
      <c r="J1825" s="60"/>
      <c r="K1825" s="60"/>
      <c r="L1825" s="60"/>
      <c r="M1825" s="60"/>
    </row>
    <row r="1826">
      <c r="A1826" s="129"/>
      <c r="B1826" s="130"/>
      <c r="C1826" s="60"/>
      <c r="D1826" s="60"/>
      <c r="E1826" s="60"/>
      <c r="F1826" s="130"/>
      <c r="G1826" s="60"/>
      <c r="H1826" s="130"/>
      <c r="I1826" s="60"/>
      <c r="J1826" s="60"/>
      <c r="K1826" s="60"/>
      <c r="L1826" s="60"/>
      <c r="M1826" s="60"/>
    </row>
    <row r="1827">
      <c r="A1827" s="129"/>
      <c r="B1827" s="130"/>
      <c r="C1827" s="60"/>
      <c r="D1827" s="60"/>
      <c r="E1827" s="60"/>
      <c r="F1827" s="130"/>
      <c r="G1827" s="60"/>
      <c r="H1827" s="130"/>
      <c r="I1827" s="60"/>
      <c r="J1827" s="60"/>
      <c r="K1827" s="60"/>
      <c r="L1827" s="60"/>
      <c r="M1827" s="60"/>
    </row>
    <row r="1828">
      <c r="A1828" s="129"/>
      <c r="B1828" s="130"/>
      <c r="C1828" s="60"/>
      <c r="D1828" s="60"/>
      <c r="E1828" s="60"/>
      <c r="F1828" s="130"/>
      <c r="G1828" s="60"/>
      <c r="H1828" s="130"/>
      <c r="I1828" s="60"/>
      <c r="J1828" s="60"/>
      <c r="K1828" s="60"/>
      <c r="L1828" s="60"/>
      <c r="M1828" s="60"/>
    </row>
    <row r="1829">
      <c r="A1829" s="129"/>
      <c r="B1829" s="130"/>
      <c r="C1829" s="60"/>
      <c r="D1829" s="60"/>
      <c r="E1829" s="60"/>
      <c r="F1829" s="130"/>
      <c r="G1829" s="60"/>
      <c r="H1829" s="130"/>
      <c r="I1829" s="60"/>
      <c r="J1829" s="60"/>
      <c r="K1829" s="60"/>
      <c r="L1829" s="60"/>
      <c r="M1829" s="60"/>
    </row>
    <row r="1830">
      <c r="A1830" s="129"/>
      <c r="B1830" s="130"/>
      <c r="C1830" s="60"/>
      <c r="D1830" s="60"/>
      <c r="E1830" s="60"/>
      <c r="F1830" s="130"/>
      <c r="G1830" s="60"/>
      <c r="H1830" s="130"/>
      <c r="I1830" s="60"/>
      <c r="J1830" s="60"/>
      <c r="K1830" s="60"/>
      <c r="L1830" s="60"/>
      <c r="M1830" s="60"/>
    </row>
    <row r="1831">
      <c r="A1831" s="129"/>
      <c r="B1831" s="130"/>
      <c r="C1831" s="60"/>
      <c r="D1831" s="60"/>
      <c r="E1831" s="60"/>
      <c r="F1831" s="130"/>
      <c r="G1831" s="60"/>
      <c r="H1831" s="130"/>
      <c r="I1831" s="60"/>
      <c r="J1831" s="60"/>
      <c r="K1831" s="60"/>
      <c r="L1831" s="60"/>
      <c r="M1831" s="60"/>
    </row>
    <row r="1832">
      <c r="A1832" s="129"/>
      <c r="B1832" s="130"/>
      <c r="C1832" s="60"/>
      <c r="D1832" s="60"/>
      <c r="E1832" s="60"/>
      <c r="F1832" s="130"/>
      <c r="G1832" s="60"/>
      <c r="H1832" s="130"/>
      <c r="I1832" s="60"/>
      <c r="J1832" s="60"/>
      <c r="K1832" s="60"/>
      <c r="L1832" s="60"/>
      <c r="M1832" s="60"/>
    </row>
    <row r="1833">
      <c r="A1833" s="129"/>
      <c r="B1833" s="130"/>
      <c r="C1833" s="60"/>
      <c r="D1833" s="60"/>
      <c r="E1833" s="60"/>
      <c r="F1833" s="130"/>
      <c r="G1833" s="60"/>
      <c r="H1833" s="130"/>
      <c r="I1833" s="60"/>
      <c r="J1833" s="60"/>
      <c r="K1833" s="60"/>
      <c r="L1833" s="60"/>
      <c r="M1833" s="60"/>
    </row>
    <row r="1834">
      <c r="A1834" s="129"/>
      <c r="B1834" s="130"/>
      <c r="C1834" s="60"/>
      <c r="D1834" s="60"/>
      <c r="E1834" s="60"/>
      <c r="F1834" s="130"/>
      <c r="G1834" s="60"/>
      <c r="H1834" s="130"/>
      <c r="I1834" s="60"/>
      <c r="J1834" s="60"/>
      <c r="K1834" s="60"/>
      <c r="L1834" s="60"/>
      <c r="M1834" s="60"/>
    </row>
    <row r="1835">
      <c r="A1835" s="129"/>
      <c r="B1835" s="130"/>
      <c r="C1835" s="60"/>
      <c r="D1835" s="60"/>
      <c r="E1835" s="60"/>
      <c r="F1835" s="130"/>
      <c r="G1835" s="60"/>
      <c r="H1835" s="130"/>
      <c r="I1835" s="60"/>
      <c r="J1835" s="60"/>
      <c r="K1835" s="60"/>
      <c r="L1835" s="60"/>
      <c r="M1835" s="60"/>
    </row>
    <row r="1836">
      <c r="A1836" s="129"/>
      <c r="B1836" s="130"/>
      <c r="C1836" s="60"/>
      <c r="D1836" s="60"/>
      <c r="E1836" s="60"/>
      <c r="F1836" s="130"/>
      <c r="G1836" s="60"/>
      <c r="H1836" s="130"/>
      <c r="I1836" s="60"/>
      <c r="J1836" s="60"/>
      <c r="K1836" s="60"/>
      <c r="L1836" s="60"/>
      <c r="M1836" s="60"/>
    </row>
    <row r="1837">
      <c r="A1837" s="129"/>
      <c r="B1837" s="130"/>
      <c r="C1837" s="60"/>
      <c r="D1837" s="60"/>
      <c r="E1837" s="60"/>
      <c r="F1837" s="130"/>
      <c r="G1837" s="60"/>
      <c r="H1837" s="130"/>
      <c r="I1837" s="60"/>
      <c r="J1837" s="60"/>
      <c r="K1837" s="60"/>
      <c r="L1837" s="60"/>
      <c r="M1837" s="60"/>
    </row>
    <row r="1838">
      <c r="A1838" s="129"/>
      <c r="B1838" s="130"/>
      <c r="C1838" s="60"/>
      <c r="D1838" s="60"/>
      <c r="E1838" s="60"/>
      <c r="F1838" s="130"/>
      <c r="G1838" s="60"/>
      <c r="H1838" s="130"/>
      <c r="I1838" s="60"/>
      <c r="J1838" s="60"/>
      <c r="K1838" s="60"/>
      <c r="L1838" s="60"/>
      <c r="M1838" s="60"/>
    </row>
    <row r="1839">
      <c r="A1839" s="129"/>
      <c r="B1839" s="130"/>
      <c r="C1839" s="60"/>
      <c r="D1839" s="60"/>
      <c r="E1839" s="60"/>
      <c r="F1839" s="130"/>
      <c r="G1839" s="60"/>
      <c r="H1839" s="130"/>
      <c r="I1839" s="60"/>
      <c r="J1839" s="60"/>
      <c r="K1839" s="60"/>
      <c r="L1839" s="60"/>
      <c r="M1839" s="60"/>
    </row>
    <row r="1840">
      <c r="A1840" s="129"/>
      <c r="B1840" s="130"/>
      <c r="C1840" s="60"/>
      <c r="D1840" s="60"/>
      <c r="E1840" s="60"/>
      <c r="F1840" s="130"/>
      <c r="G1840" s="60"/>
      <c r="H1840" s="130"/>
      <c r="I1840" s="60"/>
      <c r="J1840" s="60"/>
      <c r="K1840" s="60"/>
      <c r="L1840" s="60"/>
      <c r="M1840" s="60"/>
    </row>
    <row r="1841">
      <c r="A1841" s="129"/>
      <c r="B1841" s="130"/>
      <c r="C1841" s="60"/>
      <c r="D1841" s="60"/>
      <c r="E1841" s="60"/>
      <c r="F1841" s="130"/>
      <c r="G1841" s="60"/>
      <c r="H1841" s="130"/>
      <c r="I1841" s="60"/>
      <c r="J1841" s="60"/>
      <c r="K1841" s="60"/>
      <c r="L1841" s="60"/>
      <c r="M1841" s="60"/>
    </row>
    <row r="1842">
      <c r="A1842" s="129"/>
      <c r="B1842" s="130"/>
      <c r="C1842" s="60"/>
      <c r="D1842" s="60"/>
      <c r="E1842" s="60"/>
      <c r="F1842" s="130"/>
      <c r="G1842" s="60"/>
      <c r="H1842" s="130"/>
      <c r="I1842" s="60"/>
      <c r="J1842" s="60"/>
      <c r="K1842" s="60"/>
      <c r="L1842" s="60"/>
      <c r="M1842" s="60"/>
    </row>
    <row r="1843">
      <c r="A1843" s="129"/>
      <c r="B1843" s="130"/>
      <c r="C1843" s="60"/>
      <c r="D1843" s="60"/>
      <c r="E1843" s="60"/>
      <c r="F1843" s="130"/>
      <c r="G1843" s="60"/>
      <c r="H1843" s="130"/>
      <c r="I1843" s="60"/>
      <c r="J1843" s="60"/>
      <c r="K1843" s="60"/>
      <c r="L1843" s="60"/>
      <c r="M1843" s="60"/>
    </row>
    <row r="1844">
      <c r="A1844" s="129"/>
      <c r="B1844" s="130"/>
      <c r="C1844" s="60"/>
      <c r="D1844" s="60"/>
      <c r="E1844" s="60"/>
      <c r="F1844" s="130"/>
      <c r="G1844" s="60"/>
      <c r="H1844" s="130"/>
      <c r="I1844" s="60"/>
      <c r="J1844" s="60"/>
      <c r="K1844" s="60"/>
      <c r="L1844" s="60"/>
      <c r="M1844" s="60"/>
    </row>
    <row r="1845">
      <c r="A1845" s="129"/>
      <c r="B1845" s="130"/>
      <c r="C1845" s="60"/>
      <c r="D1845" s="60"/>
      <c r="E1845" s="60"/>
      <c r="F1845" s="130"/>
      <c r="G1845" s="60"/>
      <c r="H1845" s="130"/>
      <c r="I1845" s="60"/>
      <c r="J1845" s="60"/>
      <c r="K1845" s="60"/>
      <c r="L1845" s="60"/>
      <c r="M1845" s="60"/>
    </row>
    <row r="1846">
      <c r="A1846" s="129"/>
      <c r="B1846" s="130"/>
      <c r="C1846" s="60"/>
      <c r="D1846" s="60"/>
      <c r="E1846" s="60"/>
      <c r="F1846" s="130"/>
      <c r="G1846" s="60"/>
      <c r="H1846" s="130"/>
      <c r="I1846" s="60"/>
      <c r="J1846" s="60"/>
      <c r="K1846" s="60"/>
      <c r="L1846" s="60"/>
      <c r="M1846" s="60"/>
    </row>
    <row r="1847">
      <c r="A1847" s="129"/>
      <c r="B1847" s="130"/>
      <c r="C1847" s="60"/>
      <c r="D1847" s="60"/>
      <c r="E1847" s="60"/>
      <c r="F1847" s="130"/>
      <c r="G1847" s="60"/>
      <c r="H1847" s="130"/>
      <c r="I1847" s="60"/>
      <c r="J1847" s="60"/>
      <c r="K1847" s="60"/>
      <c r="L1847" s="60"/>
      <c r="M1847" s="60"/>
    </row>
    <row r="1848">
      <c r="A1848" s="129"/>
      <c r="B1848" s="130"/>
      <c r="C1848" s="60"/>
      <c r="D1848" s="60"/>
      <c r="E1848" s="60"/>
      <c r="F1848" s="130"/>
      <c r="G1848" s="60"/>
      <c r="H1848" s="130"/>
      <c r="I1848" s="60"/>
      <c r="J1848" s="60"/>
      <c r="K1848" s="60"/>
      <c r="L1848" s="60"/>
      <c r="M1848" s="60"/>
    </row>
    <row r="1849">
      <c r="A1849" s="129"/>
      <c r="B1849" s="130"/>
      <c r="C1849" s="60"/>
      <c r="D1849" s="60"/>
      <c r="E1849" s="60"/>
      <c r="F1849" s="130"/>
      <c r="G1849" s="60"/>
      <c r="H1849" s="130"/>
      <c r="I1849" s="60"/>
      <c r="J1849" s="60"/>
      <c r="K1849" s="60"/>
      <c r="L1849" s="60"/>
      <c r="M1849" s="60"/>
    </row>
    <row r="1850">
      <c r="A1850" s="129"/>
      <c r="B1850" s="130"/>
      <c r="C1850" s="60"/>
      <c r="D1850" s="60"/>
      <c r="E1850" s="60"/>
      <c r="F1850" s="130"/>
      <c r="G1850" s="60"/>
      <c r="H1850" s="130"/>
      <c r="I1850" s="60"/>
      <c r="J1850" s="60"/>
      <c r="K1850" s="60"/>
      <c r="L1850" s="60"/>
      <c r="M1850" s="60"/>
    </row>
    <row r="1851">
      <c r="A1851" s="129"/>
      <c r="B1851" s="130"/>
      <c r="C1851" s="60"/>
      <c r="D1851" s="60"/>
      <c r="E1851" s="60"/>
      <c r="F1851" s="130"/>
      <c r="G1851" s="60"/>
      <c r="H1851" s="130"/>
      <c r="I1851" s="60"/>
      <c r="J1851" s="60"/>
      <c r="K1851" s="60"/>
      <c r="L1851" s="60"/>
      <c r="M1851" s="60"/>
    </row>
    <row r="1852">
      <c r="A1852" s="129"/>
      <c r="B1852" s="130"/>
      <c r="C1852" s="60"/>
      <c r="D1852" s="60"/>
      <c r="E1852" s="60"/>
      <c r="F1852" s="130"/>
      <c r="G1852" s="60"/>
      <c r="H1852" s="130"/>
      <c r="I1852" s="60"/>
      <c r="J1852" s="60"/>
      <c r="K1852" s="60"/>
      <c r="L1852" s="60"/>
      <c r="M1852" s="60"/>
    </row>
    <row r="1853">
      <c r="A1853" s="129"/>
      <c r="B1853" s="130"/>
      <c r="C1853" s="60"/>
      <c r="D1853" s="60"/>
      <c r="E1853" s="60"/>
      <c r="F1853" s="130"/>
      <c r="G1853" s="60"/>
      <c r="H1853" s="130"/>
      <c r="I1853" s="60"/>
      <c r="J1853" s="60"/>
      <c r="K1853" s="60"/>
      <c r="L1853" s="60"/>
      <c r="M1853" s="60"/>
    </row>
    <row r="1854">
      <c r="A1854" s="129"/>
      <c r="B1854" s="130"/>
      <c r="C1854" s="60"/>
      <c r="D1854" s="60"/>
      <c r="E1854" s="60"/>
      <c r="F1854" s="130"/>
      <c r="G1854" s="60"/>
      <c r="H1854" s="130"/>
      <c r="I1854" s="60"/>
      <c r="J1854" s="60"/>
      <c r="K1854" s="60"/>
      <c r="L1854" s="60"/>
      <c r="M1854" s="60"/>
    </row>
    <row r="1855">
      <c r="A1855" s="129"/>
      <c r="B1855" s="130"/>
      <c r="C1855" s="60"/>
      <c r="D1855" s="60"/>
      <c r="E1855" s="60"/>
      <c r="F1855" s="130"/>
      <c r="G1855" s="60"/>
      <c r="H1855" s="130"/>
      <c r="I1855" s="60"/>
      <c r="J1855" s="60"/>
      <c r="K1855" s="60"/>
      <c r="L1855" s="60"/>
      <c r="M1855" s="60"/>
    </row>
    <row r="1856">
      <c r="A1856" s="129"/>
      <c r="B1856" s="130"/>
      <c r="C1856" s="60"/>
      <c r="D1856" s="60"/>
      <c r="E1856" s="60"/>
      <c r="F1856" s="130"/>
      <c r="G1856" s="60"/>
      <c r="H1856" s="130"/>
      <c r="I1856" s="60"/>
      <c r="J1856" s="60"/>
      <c r="K1856" s="60"/>
      <c r="L1856" s="60"/>
      <c r="M1856" s="60"/>
    </row>
    <row r="1857">
      <c r="A1857" s="129"/>
      <c r="B1857" s="130"/>
      <c r="C1857" s="60"/>
      <c r="D1857" s="60"/>
      <c r="E1857" s="60"/>
      <c r="F1857" s="130"/>
      <c r="G1857" s="60"/>
      <c r="H1857" s="130"/>
      <c r="I1857" s="60"/>
      <c r="J1857" s="60"/>
      <c r="K1857" s="60"/>
      <c r="L1857" s="60"/>
      <c r="M1857" s="60"/>
    </row>
    <row r="1858">
      <c r="A1858" s="129"/>
      <c r="B1858" s="130"/>
      <c r="C1858" s="60"/>
      <c r="D1858" s="60"/>
      <c r="E1858" s="60"/>
      <c r="F1858" s="130"/>
      <c r="G1858" s="60"/>
      <c r="H1858" s="130"/>
      <c r="I1858" s="60"/>
      <c r="J1858" s="60"/>
      <c r="K1858" s="60"/>
      <c r="L1858" s="60"/>
      <c r="M1858" s="60"/>
    </row>
    <row r="1859">
      <c r="A1859" s="129"/>
      <c r="B1859" s="130"/>
      <c r="C1859" s="60"/>
      <c r="D1859" s="60"/>
      <c r="E1859" s="60"/>
      <c r="F1859" s="130"/>
      <c r="G1859" s="60"/>
      <c r="H1859" s="130"/>
      <c r="I1859" s="60"/>
      <c r="J1859" s="60"/>
      <c r="K1859" s="60"/>
      <c r="L1859" s="60"/>
      <c r="M1859" s="60"/>
    </row>
    <row r="1860">
      <c r="A1860" s="129"/>
      <c r="B1860" s="130"/>
      <c r="C1860" s="60"/>
      <c r="D1860" s="60"/>
      <c r="E1860" s="60"/>
      <c r="F1860" s="130"/>
      <c r="G1860" s="60"/>
      <c r="H1860" s="130"/>
      <c r="I1860" s="60"/>
      <c r="J1860" s="60"/>
      <c r="K1860" s="60"/>
      <c r="L1860" s="60"/>
      <c r="M1860" s="60"/>
    </row>
    <row r="1861">
      <c r="A1861" s="129"/>
      <c r="B1861" s="130"/>
      <c r="C1861" s="60"/>
      <c r="D1861" s="60"/>
      <c r="E1861" s="60"/>
      <c r="F1861" s="130"/>
      <c r="G1861" s="60"/>
      <c r="H1861" s="130"/>
      <c r="I1861" s="60"/>
      <c r="J1861" s="60"/>
      <c r="K1861" s="60"/>
      <c r="L1861" s="60"/>
      <c r="M1861" s="60"/>
    </row>
    <row r="1862">
      <c r="A1862" s="129"/>
      <c r="B1862" s="130"/>
      <c r="C1862" s="60"/>
      <c r="D1862" s="60"/>
      <c r="E1862" s="60"/>
      <c r="F1862" s="130"/>
      <c r="G1862" s="60"/>
      <c r="H1862" s="130"/>
      <c r="I1862" s="60"/>
      <c r="J1862" s="60"/>
      <c r="K1862" s="60"/>
      <c r="L1862" s="60"/>
      <c r="M1862" s="60"/>
    </row>
    <row r="1863">
      <c r="A1863" s="129"/>
      <c r="B1863" s="130"/>
      <c r="C1863" s="60"/>
      <c r="D1863" s="60"/>
      <c r="E1863" s="60"/>
      <c r="F1863" s="130"/>
      <c r="G1863" s="60"/>
      <c r="H1863" s="130"/>
      <c r="I1863" s="60"/>
      <c r="J1863" s="60"/>
      <c r="K1863" s="60"/>
      <c r="L1863" s="60"/>
      <c r="M1863" s="60"/>
    </row>
    <row r="1864">
      <c r="A1864" s="129"/>
      <c r="B1864" s="130"/>
      <c r="C1864" s="60"/>
      <c r="D1864" s="60"/>
      <c r="E1864" s="60"/>
      <c r="F1864" s="130"/>
      <c r="G1864" s="60"/>
      <c r="H1864" s="130"/>
      <c r="I1864" s="60"/>
      <c r="J1864" s="60"/>
      <c r="K1864" s="60"/>
      <c r="L1864" s="60"/>
      <c r="M1864" s="60"/>
    </row>
    <row r="1865">
      <c r="A1865" s="129"/>
      <c r="B1865" s="130"/>
      <c r="C1865" s="60"/>
      <c r="D1865" s="60"/>
      <c r="E1865" s="60"/>
      <c r="F1865" s="130"/>
      <c r="G1865" s="60"/>
      <c r="H1865" s="130"/>
      <c r="I1865" s="60"/>
      <c r="J1865" s="60"/>
      <c r="K1865" s="60"/>
      <c r="L1865" s="60"/>
      <c r="M1865" s="60"/>
    </row>
    <row r="1866">
      <c r="A1866" s="129"/>
      <c r="B1866" s="130"/>
      <c r="C1866" s="60"/>
      <c r="D1866" s="60"/>
      <c r="E1866" s="60"/>
      <c r="F1866" s="130"/>
      <c r="G1866" s="60"/>
      <c r="H1866" s="130"/>
      <c r="I1866" s="60"/>
      <c r="J1866" s="60"/>
      <c r="K1866" s="60"/>
      <c r="L1866" s="60"/>
      <c r="M1866" s="60"/>
    </row>
    <row r="1867">
      <c r="A1867" s="129"/>
      <c r="B1867" s="130"/>
      <c r="C1867" s="60"/>
      <c r="D1867" s="60"/>
      <c r="E1867" s="60"/>
      <c r="F1867" s="130"/>
      <c r="G1867" s="60"/>
      <c r="H1867" s="130"/>
      <c r="I1867" s="60"/>
      <c r="J1867" s="60"/>
      <c r="K1867" s="60"/>
      <c r="L1867" s="60"/>
      <c r="M1867" s="60"/>
    </row>
    <row r="1868">
      <c r="A1868" s="129"/>
      <c r="B1868" s="130"/>
      <c r="C1868" s="60"/>
      <c r="D1868" s="60"/>
      <c r="E1868" s="60"/>
      <c r="F1868" s="130"/>
      <c r="G1868" s="60"/>
      <c r="H1868" s="130"/>
      <c r="I1868" s="60"/>
      <c r="J1868" s="60"/>
      <c r="K1868" s="60"/>
      <c r="L1868" s="60"/>
      <c r="M1868" s="60"/>
    </row>
    <row r="1869">
      <c r="A1869" s="129"/>
      <c r="B1869" s="130"/>
      <c r="C1869" s="60"/>
      <c r="D1869" s="60"/>
      <c r="E1869" s="60"/>
      <c r="F1869" s="130"/>
      <c r="G1869" s="60"/>
      <c r="H1869" s="130"/>
      <c r="I1869" s="60"/>
      <c r="J1869" s="60"/>
      <c r="K1869" s="60"/>
      <c r="L1869" s="60"/>
      <c r="M1869" s="60"/>
    </row>
    <row r="1870">
      <c r="A1870" s="129"/>
      <c r="B1870" s="130"/>
      <c r="C1870" s="60"/>
      <c r="D1870" s="60"/>
      <c r="E1870" s="60"/>
      <c r="F1870" s="130"/>
      <c r="G1870" s="60"/>
      <c r="H1870" s="130"/>
      <c r="I1870" s="60"/>
      <c r="J1870" s="60"/>
      <c r="K1870" s="60"/>
      <c r="L1870" s="60"/>
      <c r="M1870" s="60"/>
    </row>
    <row r="1871">
      <c r="A1871" s="129"/>
      <c r="B1871" s="130"/>
      <c r="C1871" s="60"/>
      <c r="D1871" s="60"/>
      <c r="E1871" s="60"/>
      <c r="F1871" s="130"/>
      <c r="G1871" s="60"/>
      <c r="H1871" s="130"/>
      <c r="I1871" s="60"/>
      <c r="J1871" s="60"/>
      <c r="K1871" s="60"/>
      <c r="L1871" s="60"/>
      <c r="M1871" s="60"/>
    </row>
    <row r="1872">
      <c r="A1872" s="129"/>
      <c r="B1872" s="130"/>
      <c r="C1872" s="60"/>
      <c r="D1872" s="60"/>
      <c r="E1872" s="60"/>
      <c r="F1872" s="130"/>
      <c r="G1872" s="60"/>
      <c r="H1872" s="130"/>
      <c r="I1872" s="60"/>
      <c r="J1872" s="60"/>
      <c r="K1872" s="60"/>
      <c r="L1872" s="60"/>
      <c r="M1872" s="60"/>
    </row>
    <row r="1873">
      <c r="A1873" s="129"/>
      <c r="B1873" s="130"/>
      <c r="C1873" s="60"/>
      <c r="D1873" s="60"/>
      <c r="E1873" s="60"/>
      <c r="F1873" s="130"/>
      <c r="G1873" s="60"/>
      <c r="H1873" s="130"/>
      <c r="I1873" s="60"/>
      <c r="J1873" s="60"/>
      <c r="K1873" s="60"/>
      <c r="L1873" s="60"/>
      <c r="M1873" s="60"/>
    </row>
    <row r="1874">
      <c r="A1874" s="129"/>
      <c r="B1874" s="130"/>
      <c r="C1874" s="60"/>
      <c r="D1874" s="60"/>
      <c r="E1874" s="60"/>
      <c r="F1874" s="130"/>
      <c r="G1874" s="60"/>
      <c r="H1874" s="130"/>
      <c r="I1874" s="60"/>
      <c r="J1874" s="60"/>
      <c r="K1874" s="60"/>
      <c r="L1874" s="60"/>
      <c r="M1874" s="60"/>
    </row>
    <row r="1875">
      <c r="A1875" s="129"/>
      <c r="B1875" s="130"/>
      <c r="C1875" s="60"/>
      <c r="D1875" s="60"/>
      <c r="E1875" s="60"/>
      <c r="F1875" s="130"/>
      <c r="G1875" s="60"/>
      <c r="H1875" s="130"/>
      <c r="I1875" s="60"/>
      <c r="J1875" s="60"/>
      <c r="K1875" s="60"/>
      <c r="L1875" s="60"/>
      <c r="M1875" s="60"/>
    </row>
    <row r="1876">
      <c r="A1876" s="129"/>
      <c r="B1876" s="130"/>
      <c r="C1876" s="60"/>
      <c r="D1876" s="60"/>
      <c r="E1876" s="60"/>
      <c r="F1876" s="130"/>
      <c r="G1876" s="60"/>
      <c r="H1876" s="130"/>
      <c r="I1876" s="60"/>
      <c r="J1876" s="60"/>
      <c r="K1876" s="60"/>
      <c r="L1876" s="60"/>
      <c r="M1876" s="60"/>
    </row>
    <row r="1877">
      <c r="A1877" s="129"/>
      <c r="B1877" s="130"/>
      <c r="C1877" s="60"/>
      <c r="D1877" s="60"/>
      <c r="E1877" s="60"/>
      <c r="F1877" s="130"/>
      <c r="G1877" s="60"/>
      <c r="H1877" s="130"/>
      <c r="I1877" s="60"/>
      <c r="J1877" s="60"/>
      <c r="K1877" s="60"/>
      <c r="L1877" s="60"/>
      <c r="M1877" s="60"/>
    </row>
    <row r="1878">
      <c r="A1878" s="129"/>
      <c r="B1878" s="130"/>
      <c r="C1878" s="60"/>
      <c r="D1878" s="60"/>
      <c r="E1878" s="60"/>
      <c r="F1878" s="130"/>
      <c r="G1878" s="60"/>
      <c r="H1878" s="130"/>
      <c r="I1878" s="60"/>
      <c r="J1878" s="60"/>
      <c r="K1878" s="60"/>
      <c r="L1878" s="60"/>
      <c r="M1878" s="60"/>
    </row>
    <row r="1879">
      <c r="A1879" s="129"/>
      <c r="B1879" s="130"/>
      <c r="C1879" s="60"/>
      <c r="D1879" s="60"/>
      <c r="E1879" s="60"/>
      <c r="F1879" s="130"/>
      <c r="G1879" s="60"/>
      <c r="H1879" s="130"/>
      <c r="I1879" s="60"/>
      <c r="J1879" s="60"/>
      <c r="K1879" s="60"/>
      <c r="L1879" s="60"/>
      <c r="M1879" s="60"/>
    </row>
    <row r="1880">
      <c r="A1880" s="129"/>
      <c r="B1880" s="130"/>
      <c r="C1880" s="60"/>
      <c r="D1880" s="60"/>
      <c r="E1880" s="60"/>
      <c r="F1880" s="130"/>
      <c r="G1880" s="60"/>
      <c r="H1880" s="130"/>
      <c r="I1880" s="60"/>
      <c r="J1880" s="60"/>
      <c r="K1880" s="60"/>
      <c r="L1880" s="60"/>
      <c r="M1880" s="60"/>
    </row>
    <row r="1881">
      <c r="A1881" s="129"/>
      <c r="B1881" s="130"/>
      <c r="C1881" s="60"/>
      <c r="D1881" s="60"/>
      <c r="E1881" s="60"/>
      <c r="F1881" s="130"/>
      <c r="G1881" s="60"/>
      <c r="H1881" s="130"/>
      <c r="I1881" s="60"/>
      <c r="J1881" s="60"/>
      <c r="K1881" s="60"/>
      <c r="L1881" s="60"/>
      <c r="M1881" s="60"/>
    </row>
    <row r="1882">
      <c r="A1882" s="129"/>
      <c r="B1882" s="130"/>
      <c r="C1882" s="60"/>
      <c r="D1882" s="60"/>
      <c r="E1882" s="60"/>
      <c r="F1882" s="130"/>
      <c r="G1882" s="60"/>
      <c r="H1882" s="130"/>
      <c r="I1882" s="60"/>
      <c r="J1882" s="60"/>
      <c r="K1882" s="60"/>
      <c r="L1882" s="60"/>
      <c r="M1882" s="60"/>
    </row>
    <row r="1883">
      <c r="A1883" s="129"/>
      <c r="B1883" s="130"/>
      <c r="C1883" s="60"/>
      <c r="D1883" s="60"/>
      <c r="E1883" s="60"/>
      <c r="F1883" s="130"/>
      <c r="G1883" s="60"/>
      <c r="H1883" s="130"/>
      <c r="I1883" s="60"/>
      <c r="J1883" s="60"/>
      <c r="K1883" s="60"/>
      <c r="L1883" s="60"/>
      <c r="M1883" s="60"/>
    </row>
    <row r="1884">
      <c r="A1884" s="129"/>
      <c r="B1884" s="130"/>
      <c r="C1884" s="60"/>
      <c r="D1884" s="60"/>
      <c r="E1884" s="60"/>
      <c r="F1884" s="130"/>
      <c r="G1884" s="60"/>
      <c r="H1884" s="130"/>
      <c r="I1884" s="60"/>
      <c r="J1884" s="60"/>
      <c r="K1884" s="60"/>
      <c r="L1884" s="60"/>
      <c r="M1884" s="60"/>
    </row>
    <row r="1885">
      <c r="A1885" s="129"/>
      <c r="B1885" s="130"/>
      <c r="C1885" s="60"/>
      <c r="D1885" s="60"/>
      <c r="E1885" s="60"/>
      <c r="F1885" s="130"/>
      <c r="G1885" s="60"/>
      <c r="H1885" s="130"/>
      <c r="I1885" s="60"/>
      <c r="J1885" s="60"/>
      <c r="K1885" s="60"/>
      <c r="L1885" s="60"/>
      <c r="M1885" s="60"/>
    </row>
    <row r="1886">
      <c r="A1886" s="129"/>
      <c r="B1886" s="130"/>
      <c r="C1886" s="60"/>
      <c r="D1886" s="60"/>
      <c r="E1886" s="60"/>
      <c r="F1886" s="130"/>
      <c r="G1886" s="60"/>
      <c r="H1886" s="130"/>
      <c r="I1886" s="60"/>
      <c r="J1886" s="60"/>
      <c r="K1886" s="60"/>
      <c r="L1886" s="60"/>
      <c r="M1886" s="60"/>
    </row>
    <row r="1887">
      <c r="A1887" s="129"/>
      <c r="B1887" s="130"/>
      <c r="C1887" s="60"/>
      <c r="D1887" s="60"/>
      <c r="E1887" s="60"/>
      <c r="F1887" s="130"/>
      <c r="G1887" s="60"/>
      <c r="H1887" s="130"/>
      <c r="I1887" s="60"/>
      <c r="J1887" s="60"/>
      <c r="K1887" s="60"/>
      <c r="L1887" s="60"/>
      <c r="M1887" s="60"/>
    </row>
    <row r="1888">
      <c r="A1888" s="129"/>
      <c r="B1888" s="130"/>
      <c r="C1888" s="60"/>
      <c r="D1888" s="60"/>
      <c r="E1888" s="60"/>
      <c r="F1888" s="130"/>
      <c r="G1888" s="60"/>
      <c r="H1888" s="130"/>
      <c r="I1888" s="60"/>
      <c r="J1888" s="60"/>
      <c r="K1888" s="60"/>
      <c r="L1888" s="60"/>
      <c r="M1888" s="60"/>
    </row>
    <row r="1889">
      <c r="A1889" s="129"/>
      <c r="B1889" s="130"/>
      <c r="C1889" s="60"/>
      <c r="D1889" s="60"/>
      <c r="E1889" s="60"/>
      <c r="F1889" s="130"/>
      <c r="G1889" s="60"/>
      <c r="H1889" s="130"/>
      <c r="I1889" s="60"/>
      <c r="J1889" s="60"/>
      <c r="K1889" s="60"/>
      <c r="L1889" s="60"/>
      <c r="M1889" s="60"/>
    </row>
    <row r="1890">
      <c r="A1890" s="129"/>
      <c r="B1890" s="130"/>
      <c r="C1890" s="60"/>
      <c r="D1890" s="60"/>
      <c r="E1890" s="60"/>
      <c r="F1890" s="130"/>
      <c r="G1890" s="60"/>
      <c r="H1890" s="130"/>
      <c r="I1890" s="60"/>
      <c r="J1890" s="60"/>
      <c r="K1890" s="60"/>
      <c r="L1890" s="60"/>
      <c r="M1890" s="60"/>
    </row>
    <row r="1891">
      <c r="A1891" s="129"/>
      <c r="B1891" s="130"/>
      <c r="C1891" s="60"/>
      <c r="D1891" s="60"/>
      <c r="E1891" s="60"/>
      <c r="F1891" s="130"/>
      <c r="G1891" s="60"/>
      <c r="H1891" s="130"/>
      <c r="I1891" s="60"/>
      <c r="J1891" s="60"/>
      <c r="K1891" s="60"/>
      <c r="L1891" s="60"/>
      <c r="M1891" s="60"/>
    </row>
    <row r="1892">
      <c r="A1892" s="129"/>
      <c r="B1892" s="130"/>
      <c r="C1892" s="60"/>
      <c r="D1892" s="60"/>
      <c r="E1892" s="60"/>
      <c r="F1892" s="130"/>
      <c r="G1892" s="60"/>
      <c r="H1892" s="130"/>
      <c r="I1892" s="60"/>
      <c r="J1892" s="60"/>
      <c r="K1892" s="60"/>
      <c r="L1892" s="60"/>
      <c r="M1892" s="60"/>
    </row>
    <row r="1893">
      <c r="A1893" s="129"/>
      <c r="B1893" s="130"/>
      <c r="C1893" s="60"/>
      <c r="D1893" s="60"/>
      <c r="E1893" s="60"/>
      <c r="F1893" s="130"/>
      <c r="G1893" s="60"/>
      <c r="H1893" s="130"/>
      <c r="I1893" s="60"/>
      <c r="J1893" s="60"/>
      <c r="K1893" s="60"/>
      <c r="L1893" s="60"/>
      <c r="M1893" s="60"/>
    </row>
    <row r="1894">
      <c r="A1894" s="129"/>
      <c r="B1894" s="130"/>
      <c r="C1894" s="60"/>
      <c r="D1894" s="60"/>
      <c r="E1894" s="60"/>
      <c r="F1894" s="130"/>
      <c r="G1894" s="60"/>
      <c r="H1894" s="130"/>
      <c r="I1894" s="60"/>
      <c r="J1894" s="60"/>
      <c r="K1894" s="60"/>
      <c r="L1894" s="60"/>
      <c r="M1894" s="60"/>
    </row>
    <row r="1895">
      <c r="A1895" s="129"/>
      <c r="B1895" s="130"/>
      <c r="C1895" s="60"/>
      <c r="D1895" s="60"/>
      <c r="E1895" s="60"/>
      <c r="F1895" s="130"/>
      <c r="G1895" s="60"/>
      <c r="H1895" s="130"/>
      <c r="I1895" s="60"/>
      <c r="J1895" s="60"/>
      <c r="K1895" s="60"/>
      <c r="L1895" s="60"/>
      <c r="M1895" s="60"/>
    </row>
    <row r="1896">
      <c r="A1896" s="129"/>
      <c r="B1896" s="130"/>
      <c r="C1896" s="60"/>
      <c r="D1896" s="60"/>
      <c r="E1896" s="60"/>
      <c r="F1896" s="130"/>
      <c r="G1896" s="60"/>
      <c r="H1896" s="130"/>
      <c r="I1896" s="60"/>
      <c r="J1896" s="60"/>
      <c r="K1896" s="60"/>
      <c r="L1896" s="60"/>
      <c r="M1896" s="60"/>
    </row>
    <row r="1897">
      <c r="A1897" s="129"/>
      <c r="B1897" s="130"/>
      <c r="C1897" s="60"/>
      <c r="D1897" s="60"/>
      <c r="E1897" s="60"/>
      <c r="F1897" s="130"/>
      <c r="G1897" s="60"/>
      <c r="H1897" s="130"/>
      <c r="I1897" s="60"/>
      <c r="J1897" s="60"/>
      <c r="K1897" s="60"/>
      <c r="L1897" s="60"/>
      <c r="M1897" s="60"/>
    </row>
    <row r="1898">
      <c r="A1898" s="129"/>
      <c r="B1898" s="130"/>
      <c r="C1898" s="60"/>
      <c r="D1898" s="60"/>
      <c r="E1898" s="60"/>
      <c r="F1898" s="130"/>
      <c r="G1898" s="60"/>
      <c r="H1898" s="130"/>
      <c r="I1898" s="60"/>
      <c r="J1898" s="60"/>
      <c r="K1898" s="60"/>
      <c r="L1898" s="60"/>
      <c r="M1898" s="60"/>
    </row>
    <row r="1899">
      <c r="A1899" s="129"/>
      <c r="B1899" s="130"/>
      <c r="C1899" s="60"/>
      <c r="D1899" s="60"/>
      <c r="E1899" s="60"/>
      <c r="F1899" s="130"/>
      <c r="G1899" s="60"/>
      <c r="H1899" s="130"/>
      <c r="I1899" s="60"/>
      <c r="J1899" s="60"/>
      <c r="K1899" s="60"/>
      <c r="L1899" s="60"/>
      <c r="M1899" s="60"/>
    </row>
    <row r="1900">
      <c r="A1900" s="129"/>
      <c r="B1900" s="130"/>
      <c r="C1900" s="60"/>
      <c r="D1900" s="60"/>
      <c r="E1900" s="60"/>
      <c r="F1900" s="130"/>
      <c r="G1900" s="60"/>
      <c r="H1900" s="130"/>
      <c r="I1900" s="60"/>
      <c r="J1900" s="60"/>
      <c r="K1900" s="60"/>
      <c r="L1900" s="60"/>
      <c r="M1900" s="60"/>
    </row>
    <row r="1901">
      <c r="A1901" s="129"/>
      <c r="B1901" s="130"/>
      <c r="C1901" s="60"/>
      <c r="D1901" s="60"/>
      <c r="E1901" s="60"/>
      <c r="F1901" s="130"/>
      <c r="G1901" s="60"/>
      <c r="H1901" s="130"/>
      <c r="I1901" s="60"/>
      <c r="J1901" s="60"/>
      <c r="K1901" s="60"/>
      <c r="L1901" s="60"/>
      <c r="M1901" s="60"/>
    </row>
    <row r="1902">
      <c r="A1902" s="129"/>
      <c r="B1902" s="130"/>
      <c r="C1902" s="60"/>
      <c r="D1902" s="60"/>
      <c r="E1902" s="60"/>
      <c r="F1902" s="130"/>
      <c r="G1902" s="60"/>
      <c r="H1902" s="130"/>
      <c r="I1902" s="60"/>
      <c r="J1902" s="60"/>
      <c r="K1902" s="60"/>
      <c r="L1902" s="60"/>
      <c r="M1902" s="60"/>
    </row>
    <row r="1903">
      <c r="A1903" s="129"/>
      <c r="B1903" s="130"/>
      <c r="C1903" s="60"/>
      <c r="D1903" s="60"/>
      <c r="E1903" s="60"/>
      <c r="F1903" s="130"/>
      <c r="G1903" s="60"/>
      <c r="H1903" s="130"/>
      <c r="I1903" s="60"/>
      <c r="J1903" s="60"/>
      <c r="K1903" s="60"/>
      <c r="L1903" s="60"/>
      <c r="M1903" s="60"/>
    </row>
    <row r="1904">
      <c r="A1904" s="129"/>
      <c r="B1904" s="130"/>
      <c r="C1904" s="60"/>
      <c r="D1904" s="60"/>
      <c r="E1904" s="60"/>
      <c r="F1904" s="130"/>
      <c r="G1904" s="60"/>
      <c r="H1904" s="130"/>
      <c r="I1904" s="60"/>
      <c r="J1904" s="60"/>
      <c r="K1904" s="60"/>
      <c r="L1904" s="60"/>
      <c r="M1904" s="60"/>
    </row>
    <row r="1905">
      <c r="A1905" s="129"/>
      <c r="B1905" s="130"/>
      <c r="C1905" s="60"/>
      <c r="D1905" s="60"/>
      <c r="E1905" s="60"/>
      <c r="F1905" s="130"/>
      <c r="G1905" s="60"/>
      <c r="H1905" s="130"/>
      <c r="I1905" s="60"/>
      <c r="J1905" s="60"/>
      <c r="K1905" s="60"/>
      <c r="L1905" s="60"/>
      <c r="M1905" s="60"/>
    </row>
    <row r="1906">
      <c r="A1906" s="129"/>
      <c r="B1906" s="130"/>
      <c r="C1906" s="60"/>
      <c r="D1906" s="60"/>
      <c r="E1906" s="60"/>
      <c r="F1906" s="130"/>
      <c r="G1906" s="60"/>
      <c r="H1906" s="130"/>
      <c r="I1906" s="60"/>
      <c r="J1906" s="60"/>
      <c r="K1906" s="60"/>
      <c r="L1906" s="60"/>
      <c r="M1906" s="60"/>
    </row>
    <row r="1907">
      <c r="A1907" s="129"/>
      <c r="B1907" s="130"/>
      <c r="C1907" s="60"/>
      <c r="D1907" s="60"/>
      <c r="E1907" s="60"/>
      <c r="F1907" s="130"/>
      <c r="G1907" s="60"/>
      <c r="H1907" s="130"/>
      <c r="I1907" s="60"/>
      <c r="J1907" s="60"/>
      <c r="K1907" s="60"/>
      <c r="L1907" s="60"/>
      <c r="M1907" s="60"/>
    </row>
    <row r="1908">
      <c r="A1908" s="129"/>
      <c r="B1908" s="130"/>
      <c r="C1908" s="60"/>
      <c r="D1908" s="60"/>
      <c r="E1908" s="60"/>
      <c r="F1908" s="130"/>
      <c r="G1908" s="60"/>
      <c r="H1908" s="130"/>
      <c r="I1908" s="60"/>
      <c r="J1908" s="60"/>
      <c r="K1908" s="60"/>
      <c r="L1908" s="60"/>
      <c r="M1908" s="60"/>
    </row>
    <row r="1909">
      <c r="A1909" s="129"/>
      <c r="B1909" s="130"/>
      <c r="C1909" s="60"/>
      <c r="D1909" s="60"/>
      <c r="E1909" s="60"/>
      <c r="F1909" s="130"/>
      <c r="G1909" s="60"/>
      <c r="H1909" s="130"/>
      <c r="I1909" s="60"/>
      <c r="J1909" s="60"/>
      <c r="K1909" s="60"/>
      <c r="L1909" s="60"/>
      <c r="M1909" s="60"/>
    </row>
    <row r="1910">
      <c r="A1910" s="129"/>
      <c r="B1910" s="130"/>
      <c r="C1910" s="60"/>
      <c r="D1910" s="60"/>
      <c r="E1910" s="60"/>
      <c r="F1910" s="130"/>
      <c r="G1910" s="60"/>
      <c r="H1910" s="130"/>
      <c r="I1910" s="60"/>
      <c r="J1910" s="60"/>
      <c r="K1910" s="60"/>
      <c r="L1910" s="60"/>
      <c r="M1910" s="60"/>
    </row>
    <row r="1911">
      <c r="A1911" s="129"/>
      <c r="B1911" s="130"/>
      <c r="C1911" s="60"/>
      <c r="D1911" s="60"/>
      <c r="E1911" s="60"/>
      <c r="F1911" s="130"/>
      <c r="G1911" s="60"/>
      <c r="H1911" s="130"/>
      <c r="I1911" s="60"/>
      <c r="J1911" s="60"/>
      <c r="K1911" s="60"/>
      <c r="L1911" s="60"/>
      <c r="M1911" s="60"/>
    </row>
    <row r="1912">
      <c r="A1912" s="129"/>
      <c r="B1912" s="130"/>
      <c r="C1912" s="60"/>
      <c r="D1912" s="60"/>
      <c r="E1912" s="60"/>
      <c r="F1912" s="130"/>
      <c r="G1912" s="60"/>
      <c r="H1912" s="130"/>
      <c r="I1912" s="60"/>
      <c r="J1912" s="60"/>
      <c r="K1912" s="60"/>
      <c r="L1912" s="60"/>
      <c r="M1912" s="60"/>
    </row>
    <row r="1913">
      <c r="A1913" s="129"/>
      <c r="B1913" s="130"/>
      <c r="C1913" s="60"/>
      <c r="D1913" s="60"/>
      <c r="E1913" s="60"/>
      <c r="F1913" s="130"/>
      <c r="G1913" s="60"/>
      <c r="H1913" s="130"/>
      <c r="I1913" s="60"/>
      <c r="J1913" s="60"/>
      <c r="K1913" s="60"/>
      <c r="L1913" s="60"/>
      <c r="M1913" s="60"/>
    </row>
    <row r="1914">
      <c r="A1914" s="129"/>
      <c r="B1914" s="130"/>
      <c r="C1914" s="60"/>
      <c r="D1914" s="60"/>
      <c r="E1914" s="60"/>
      <c r="F1914" s="130"/>
      <c r="G1914" s="60"/>
      <c r="H1914" s="130"/>
      <c r="I1914" s="60"/>
      <c r="J1914" s="60"/>
      <c r="K1914" s="60"/>
      <c r="L1914" s="60"/>
      <c r="M1914" s="60"/>
    </row>
    <row r="1915">
      <c r="A1915" s="129"/>
      <c r="B1915" s="130"/>
      <c r="C1915" s="60"/>
      <c r="D1915" s="60"/>
      <c r="E1915" s="60"/>
      <c r="F1915" s="130"/>
      <c r="G1915" s="60"/>
      <c r="H1915" s="130"/>
      <c r="I1915" s="60"/>
      <c r="J1915" s="60"/>
      <c r="K1915" s="60"/>
      <c r="L1915" s="60"/>
      <c r="M1915" s="60"/>
    </row>
    <row r="1916">
      <c r="A1916" s="129"/>
      <c r="B1916" s="130"/>
      <c r="C1916" s="60"/>
      <c r="D1916" s="60"/>
      <c r="E1916" s="60"/>
      <c r="F1916" s="130"/>
      <c r="G1916" s="60"/>
      <c r="H1916" s="130"/>
      <c r="I1916" s="60"/>
      <c r="J1916" s="60"/>
      <c r="K1916" s="60"/>
      <c r="L1916" s="60"/>
      <c r="M1916" s="60"/>
    </row>
    <row r="1917">
      <c r="A1917" s="129"/>
      <c r="B1917" s="130"/>
      <c r="C1917" s="60"/>
      <c r="D1917" s="60"/>
      <c r="E1917" s="60"/>
      <c r="F1917" s="130"/>
      <c r="G1917" s="60"/>
      <c r="H1917" s="130"/>
      <c r="I1917" s="60"/>
      <c r="J1917" s="60"/>
      <c r="K1917" s="60"/>
      <c r="L1917" s="60"/>
      <c r="M1917" s="60"/>
    </row>
    <row r="1918">
      <c r="A1918" s="129"/>
      <c r="B1918" s="130"/>
      <c r="C1918" s="60"/>
      <c r="D1918" s="60"/>
      <c r="E1918" s="60"/>
      <c r="F1918" s="130"/>
      <c r="G1918" s="60"/>
      <c r="H1918" s="130"/>
      <c r="I1918" s="60"/>
      <c r="J1918" s="60"/>
      <c r="K1918" s="60"/>
      <c r="L1918" s="60"/>
      <c r="M1918" s="60"/>
    </row>
    <row r="1919">
      <c r="A1919" s="129"/>
      <c r="B1919" s="130"/>
      <c r="C1919" s="60"/>
      <c r="D1919" s="60"/>
      <c r="E1919" s="60"/>
      <c r="F1919" s="130"/>
      <c r="G1919" s="60"/>
      <c r="H1919" s="130"/>
      <c r="I1919" s="60"/>
      <c r="J1919" s="60"/>
      <c r="K1919" s="60"/>
      <c r="L1919" s="60"/>
      <c r="M1919" s="60"/>
    </row>
    <row r="1920">
      <c r="A1920" s="129"/>
      <c r="B1920" s="130"/>
      <c r="C1920" s="60"/>
      <c r="D1920" s="60"/>
      <c r="E1920" s="60"/>
      <c r="F1920" s="130"/>
      <c r="G1920" s="60"/>
      <c r="H1920" s="130"/>
      <c r="I1920" s="60"/>
      <c r="J1920" s="60"/>
      <c r="K1920" s="60"/>
      <c r="L1920" s="60"/>
      <c r="M1920" s="60"/>
    </row>
    <row r="1921">
      <c r="A1921" s="129"/>
      <c r="B1921" s="130"/>
      <c r="C1921" s="60"/>
      <c r="D1921" s="60"/>
      <c r="E1921" s="60"/>
      <c r="F1921" s="130"/>
      <c r="G1921" s="60"/>
      <c r="H1921" s="130"/>
      <c r="I1921" s="60"/>
      <c r="J1921" s="60"/>
      <c r="K1921" s="60"/>
      <c r="L1921" s="60"/>
      <c r="M1921" s="60"/>
    </row>
    <row r="1922">
      <c r="A1922" s="129"/>
      <c r="B1922" s="130"/>
      <c r="C1922" s="60"/>
      <c r="D1922" s="60"/>
      <c r="E1922" s="60"/>
      <c r="F1922" s="130"/>
      <c r="G1922" s="60"/>
      <c r="H1922" s="130"/>
      <c r="I1922" s="60"/>
      <c r="J1922" s="60"/>
      <c r="K1922" s="60"/>
      <c r="L1922" s="60"/>
      <c r="M1922" s="60"/>
    </row>
    <row r="1923">
      <c r="A1923" s="129"/>
      <c r="B1923" s="130"/>
      <c r="C1923" s="60"/>
      <c r="D1923" s="60"/>
      <c r="E1923" s="60"/>
      <c r="F1923" s="130"/>
      <c r="G1923" s="60"/>
      <c r="H1923" s="130"/>
      <c r="I1923" s="60"/>
      <c r="J1923" s="60"/>
      <c r="K1923" s="60"/>
      <c r="L1923" s="60"/>
      <c r="M1923" s="60"/>
    </row>
    <row r="1924">
      <c r="A1924" s="129"/>
      <c r="B1924" s="130"/>
      <c r="C1924" s="60"/>
      <c r="D1924" s="60"/>
      <c r="E1924" s="60"/>
      <c r="F1924" s="130"/>
      <c r="G1924" s="60"/>
      <c r="H1924" s="130"/>
      <c r="I1924" s="60"/>
      <c r="J1924" s="60"/>
      <c r="K1924" s="60"/>
      <c r="L1924" s="60"/>
      <c r="M1924" s="60"/>
    </row>
    <row r="1925">
      <c r="A1925" s="129"/>
      <c r="B1925" s="130"/>
      <c r="C1925" s="60"/>
      <c r="D1925" s="60"/>
      <c r="E1925" s="60"/>
      <c r="F1925" s="130"/>
      <c r="G1925" s="60"/>
      <c r="H1925" s="130"/>
      <c r="I1925" s="60"/>
      <c r="J1925" s="60"/>
      <c r="K1925" s="60"/>
      <c r="L1925" s="60"/>
      <c r="M1925" s="60"/>
    </row>
    <row r="1926">
      <c r="A1926" s="129"/>
      <c r="B1926" s="130"/>
      <c r="C1926" s="60"/>
      <c r="D1926" s="60"/>
      <c r="E1926" s="60"/>
      <c r="F1926" s="130"/>
      <c r="G1926" s="60"/>
      <c r="H1926" s="130"/>
      <c r="I1926" s="60"/>
      <c r="J1926" s="60"/>
      <c r="K1926" s="60"/>
      <c r="L1926" s="60"/>
      <c r="M1926" s="60"/>
    </row>
    <row r="1927">
      <c r="A1927" s="129"/>
      <c r="B1927" s="130"/>
      <c r="C1927" s="60"/>
      <c r="D1927" s="60"/>
      <c r="E1927" s="60"/>
      <c r="F1927" s="130"/>
      <c r="G1927" s="60"/>
      <c r="H1927" s="130"/>
      <c r="I1927" s="60"/>
      <c r="J1927" s="60"/>
      <c r="K1927" s="60"/>
      <c r="L1927" s="60"/>
      <c r="M1927" s="60"/>
    </row>
    <row r="1928">
      <c r="A1928" s="129"/>
      <c r="B1928" s="130"/>
      <c r="C1928" s="60"/>
      <c r="D1928" s="60"/>
      <c r="E1928" s="60"/>
      <c r="F1928" s="130"/>
      <c r="G1928" s="60"/>
      <c r="H1928" s="130"/>
      <c r="I1928" s="60"/>
      <c r="J1928" s="60"/>
      <c r="K1928" s="60"/>
      <c r="L1928" s="60"/>
      <c r="M1928" s="60"/>
    </row>
    <row r="1929">
      <c r="A1929" s="129"/>
      <c r="B1929" s="130"/>
      <c r="C1929" s="60"/>
      <c r="D1929" s="60"/>
      <c r="E1929" s="60"/>
      <c r="F1929" s="130"/>
      <c r="G1929" s="60"/>
      <c r="H1929" s="130"/>
      <c r="I1929" s="60"/>
      <c r="J1929" s="60"/>
      <c r="K1929" s="60"/>
      <c r="L1929" s="60"/>
      <c r="M1929" s="60"/>
    </row>
    <row r="1930">
      <c r="A1930" s="129"/>
      <c r="B1930" s="130"/>
      <c r="C1930" s="60"/>
      <c r="D1930" s="60"/>
      <c r="E1930" s="60"/>
      <c r="F1930" s="130"/>
      <c r="G1930" s="60"/>
      <c r="H1930" s="130"/>
      <c r="I1930" s="60"/>
      <c r="J1930" s="60"/>
      <c r="K1930" s="60"/>
      <c r="L1930" s="60"/>
      <c r="M1930" s="60"/>
    </row>
    <row r="1931">
      <c r="A1931" s="129"/>
      <c r="B1931" s="130"/>
      <c r="C1931" s="60"/>
      <c r="D1931" s="60"/>
      <c r="E1931" s="60"/>
      <c r="F1931" s="130"/>
      <c r="G1931" s="60"/>
      <c r="H1931" s="130"/>
      <c r="I1931" s="60"/>
      <c r="J1931" s="60"/>
      <c r="K1931" s="60"/>
      <c r="L1931" s="60"/>
      <c r="M1931" s="60"/>
    </row>
    <row r="1932">
      <c r="A1932" s="129"/>
      <c r="B1932" s="130"/>
      <c r="C1932" s="60"/>
      <c r="D1932" s="60"/>
      <c r="E1932" s="60"/>
      <c r="F1932" s="130"/>
      <c r="G1932" s="60"/>
      <c r="H1932" s="130"/>
      <c r="I1932" s="60"/>
      <c r="J1932" s="60"/>
      <c r="K1932" s="60"/>
      <c r="L1932" s="60"/>
      <c r="M1932" s="60"/>
    </row>
    <row r="1933">
      <c r="A1933" s="129"/>
      <c r="B1933" s="130"/>
      <c r="C1933" s="60"/>
      <c r="D1933" s="60"/>
      <c r="E1933" s="60"/>
      <c r="F1933" s="130"/>
      <c r="G1933" s="60"/>
      <c r="H1933" s="130"/>
      <c r="I1933" s="60"/>
      <c r="J1933" s="60"/>
      <c r="K1933" s="60"/>
      <c r="L1933" s="60"/>
      <c r="M1933" s="60"/>
    </row>
    <row r="1934">
      <c r="A1934" s="129"/>
      <c r="B1934" s="130"/>
      <c r="C1934" s="60"/>
      <c r="D1934" s="60"/>
      <c r="E1934" s="60"/>
      <c r="F1934" s="130"/>
      <c r="G1934" s="60"/>
      <c r="H1934" s="130"/>
      <c r="I1934" s="60"/>
      <c r="J1934" s="60"/>
      <c r="K1934" s="60"/>
      <c r="L1934" s="60"/>
      <c r="M1934" s="60"/>
    </row>
    <row r="1935">
      <c r="A1935" s="129"/>
      <c r="B1935" s="130"/>
      <c r="C1935" s="60"/>
      <c r="D1935" s="60"/>
      <c r="E1935" s="60"/>
      <c r="F1935" s="130"/>
      <c r="G1935" s="60"/>
      <c r="H1935" s="130"/>
      <c r="I1935" s="60"/>
      <c r="J1935" s="60"/>
      <c r="K1935" s="60"/>
      <c r="L1935" s="60"/>
      <c r="M1935" s="60"/>
    </row>
    <row r="1936">
      <c r="A1936" s="129"/>
      <c r="B1936" s="130"/>
      <c r="C1936" s="60"/>
      <c r="D1936" s="60"/>
      <c r="E1936" s="60"/>
      <c r="F1936" s="130"/>
      <c r="G1936" s="60"/>
      <c r="H1936" s="130"/>
      <c r="I1936" s="60"/>
      <c r="J1936" s="60"/>
      <c r="K1936" s="60"/>
      <c r="L1936" s="60"/>
      <c r="M1936" s="60"/>
    </row>
    <row r="1937">
      <c r="A1937" s="129"/>
      <c r="B1937" s="130"/>
      <c r="C1937" s="60"/>
      <c r="D1937" s="60"/>
      <c r="E1937" s="60"/>
      <c r="F1937" s="130"/>
      <c r="G1937" s="60"/>
      <c r="H1937" s="130"/>
      <c r="I1937" s="60"/>
      <c r="J1937" s="60"/>
      <c r="K1937" s="60"/>
      <c r="L1937" s="60"/>
      <c r="M1937" s="60"/>
    </row>
    <row r="1938">
      <c r="A1938" s="129"/>
      <c r="B1938" s="130"/>
      <c r="C1938" s="60"/>
      <c r="D1938" s="60"/>
      <c r="E1938" s="60"/>
      <c r="F1938" s="130"/>
      <c r="G1938" s="60"/>
      <c r="H1938" s="130"/>
      <c r="I1938" s="60"/>
      <c r="J1938" s="60"/>
      <c r="K1938" s="60"/>
      <c r="L1938" s="60"/>
      <c r="M1938" s="60"/>
    </row>
    <row r="1939">
      <c r="A1939" s="129"/>
      <c r="B1939" s="130"/>
      <c r="C1939" s="60"/>
      <c r="D1939" s="60"/>
      <c r="E1939" s="60"/>
      <c r="F1939" s="130"/>
      <c r="G1939" s="60"/>
      <c r="H1939" s="130"/>
      <c r="I1939" s="60"/>
      <c r="J1939" s="60"/>
      <c r="K1939" s="60"/>
      <c r="L1939" s="60"/>
      <c r="M1939" s="60"/>
    </row>
    <row r="1940">
      <c r="A1940" s="129"/>
      <c r="B1940" s="130"/>
      <c r="C1940" s="60"/>
      <c r="D1940" s="60"/>
      <c r="E1940" s="60"/>
      <c r="F1940" s="130"/>
      <c r="G1940" s="60"/>
      <c r="H1940" s="130"/>
      <c r="I1940" s="60"/>
      <c r="J1940" s="60"/>
      <c r="K1940" s="60"/>
      <c r="L1940" s="60"/>
      <c r="M1940" s="60"/>
    </row>
    <row r="1941">
      <c r="A1941" s="129"/>
      <c r="B1941" s="130"/>
      <c r="C1941" s="60"/>
      <c r="D1941" s="60"/>
      <c r="E1941" s="60"/>
      <c r="F1941" s="130"/>
      <c r="G1941" s="60"/>
      <c r="H1941" s="130"/>
      <c r="I1941" s="60"/>
      <c r="J1941" s="60"/>
      <c r="K1941" s="60"/>
      <c r="L1941" s="60"/>
      <c r="M1941" s="60"/>
    </row>
    <row r="1942">
      <c r="A1942" s="129"/>
      <c r="B1942" s="130"/>
      <c r="C1942" s="60"/>
      <c r="D1942" s="60"/>
      <c r="E1942" s="60"/>
      <c r="F1942" s="130"/>
      <c r="G1942" s="60"/>
      <c r="H1942" s="130"/>
      <c r="I1942" s="60"/>
      <c r="J1942" s="60"/>
      <c r="K1942" s="60"/>
      <c r="L1942" s="60"/>
      <c r="M1942" s="60"/>
    </row>
    <row r="1943">
      <c r="A1943" s="129"/>
      <c r="B1943" s="130"/>
      <c r="C1943" s="60"/>
      <c r="D1943" s="60"/>
      <c r="E1943" s="60"/>
      <c r="F1943" s="130"/>
      <c r="G1943" s="60"/>
      <c r="H1943" s="130"/>
      <c r="I1943" s="60"/>
      <c r="J1943" s="60"/>
      <c r="K1943" s="60"/>
      <c r="L1943" s="60"/>
      <c r="M1943" s="60"/>
    </row>
    <row r="1944">
      <c r="A1944" s="129"/>
      <c r="B1944" s="130"/>
      <c r="C1944" s="60"/>
      <c r="D1944" s="60"/>
      <c r="E1944" s="60"/>
      <c r="F1944" s="130"/>
      <c r="G1944" s="60"/>
      <c r="H1944" s="130"/>
      <c r="I1944" s="60"/>
      <c r="J1944" s="60"/>
      <c r="K1944" s="60"/>
      <c r="L1944" s="60"/>
      <c r="M1944" s="60"/>
    </row>
    <row r="1945">
      <c r="A1945" s="129"/>
      <c r="B1945" s="130"/>
      <c r="C1945" s="60"/>
      <c r="D1945" s="60"/>
      <c r="E1945" s="60"/>
      <c r="F1945" s="130"/>
      <c r="G1945" s="60"/>
      <c r="H1945" s="130"/>
      <c r="I1945" s="60"/>
      <c r="J1945" s="60"/>
      <c r="K1945" s="60"/>
      <c r="L1945" s="60"/>
      <c r="M1945" s="60"/>
    </row>
    <row r="1946">
      <c r="A1946" s="129"/>
      <c r="B1946" s="130"/>
      <c r="C1946" s="60"/>
      <c r="D1946" s="60"/>
      <c r="E1946" s="60"/>
      <c r="F1946" s="130"/>
      <c r="G1946" s="60"/>
      <c r="H1946" s="130"/>
      <c r="I1946" s="60"/>
      <c r="J1946" s="60"/>
      <c r="K1946" s="60"/>
      <c r="L1946" s="60"/>
      <c r="M1946" s="60"/>
    </row>
    <row r="1947">
      <c r="A1947" s="129"/>
      <c r="B1947" s="130"/>
      <c r="C1947" s="60"/>
      <c r="D1947" s="60"/>
      <c r="E1947" s="60"/>
      <c r="F1947" s="130"/>
      <c r="G1947" s="60"/>
      <c r="H1947" s="130"/>
      <c r="I1947" s="60"/>
      <c r="J1947" s="60"/>
      <c r="K1947" s="60"/>
      <c r="L1947" s="60"/>
      <c r="M1947" s="60"/>
    </row>
    <row r="1948">
      <c r="A1948" s="129"/>
      <c r="B1948" s="130"/>
      <c r="C1948" s="60"/>
      <c r="D1948" s="60"/>
      <c r="E1948" s="60"/>
      <c r="F1948" s="130"/>
      <c r="G1948" s="60"/>
      <c r="H1948" s="130"/>
      <c r="I1948" s="60"/>
      <c r="J1948" s="60"/>
      <c r="K1948" s="60"/>
      <c r="L1948" s="60"/>
      <c r="M1948" s="60"/>
    </row>
    <row r="1949">
      <c r="A1949" s="129"/>
      <c r="B1949" s="130"/>
      <c r="C1949" s="60"/>
      <c r="D1949" s="60"/>
      <c r="E1949" s="60"/>
      <c r="F1949" s="130"/>
      <c r="G1949" s="60"/>
      <c r="H1949" s="130"/>
      <c r="I1949" s="60"/>
      <c r="J1949" s="60"/>
      <c r="K1949" s="60"/>
      <c r="L1949" s="60"/>
      <c r="M1949" s="60"/>
    </row>
    <row r="1950">
      <c r="A1950" s="129"/>
      <c r="B1950" s="130"/>
      <c r="C1950" s="60"/>
      <c r="D1950" s="60"/>
      <c r="E1950" s="60"/>
      <c r="F1950" s="130"/>
      <c r="G1950" s="60"/>
      <c r="H1950" s="130"/>
      <c r="I1950" s="60"/>
      <c r="J1950" s="60"/>
      <c r="K1950" s="60"/>
      <c r="L1950" s="60"/>
      <c r="M1950" s="60"/>
    </row>
    <row r="1951">
      <c r="A1951" s="129"/>
      <c r="B1951" s="130"/>
      <c r="C1951" s="60"/>
      <c r="D1951" s="60"/>
      <c r="E1951" s="60"/>
      <c r="F1951" s="130"/>
      <c r="G1951" s="60"/>
      <c r="H1951" s="130"/>
      <c r="I1951" s="60"/>
      <c r="J1951" s="60"/>
      <c r="K1951" s="60"/>
      <c r="L1951" s="60"/>
      <c r="M1951" s="60"/>
    </row>
    <row r="1952">
      <c r="A1952" s="129"/>
      <c r="B1952" s="130"/>
      <c r="C1952" s="60"/>
      <c r="D1952" s="60"/>
      <c r="E1952" s="60"/>
      <c r="F1952" s="130"/>
      <c r="G1952" s="60"/>
      <c r="H1952" s="130"/>
      <c r="I1952" s="60"/>
      <c r="J1952" s="60"/>
      <c r="K1952" s="60"/>
      <c r="L1952" s="60"/>
      <c r="M1952" s="60"/>
    </row>
    <row r="1953">
      <c r="A1953" s="129"/>
      <c r="B1953" s="130"/>
      <c r="C1953" s="60"/>
      <c r="D1953" s="60"/>
      <c r="E1953" s="60"/>
      <c r="F1953" s="130"/>
      <c r="G1953" s="60"/>
      <c r="H1953" s="130"/>
      <c r="I1953" s="60"/>
      <c r="J1953" s="60"/>
      <c r="K1953" s="60"/>
      <c r="L1953" s="60"/>
      <c r="M1953" s="60"/>
    </row>
    <row r="1954">
      <c r="A1954" s="129"/>
      <c r="B1954" s="130"/>
      <c r="C1954" s="60"/>
      <c r="D1954" s="60"/>
      <c r="E1954" s="60"/>
      <c r="F1954" s="130"/>
      <c r="G1954" s="60"/>
      <c r="H1954" s="130"/>
      <c r="I1954" s="60"/>
      <c r="J1954" s="60"/>
      <c r="K1954" s="60"/>
      <c r="L1954" s="60"/>
      <c r="M1954" s="60"/>
    </row>
    <row r="1955">
      <c r="A1955" s="129"/>
      <c r="B1955" s="130"/>
      <c r="C1955" s="60"/>
      <c r="D1955" s="60"/>
      <c r="E1955" s="60"/>
      <c r="F1955" s="130"/>
      <c r="G1955" s="60"/>
      <c r="H1955" s="130"/>
      <c r="I1955" s="60"/>
      <c r="J1955" s="60"/>
      <c r="K1955" s="60"/>
      <c r="L1955" s="60"/>
      <c r="M1955" s="60"/>
    </row>
    <row r="1956">
      <c r="A1956" s="129"/>
      <c r="B1956" s="130"/>
      <c r="C1956" s="60"/>
      <c r="D1956" s="60"/>
      <c r="E1956" s="60"/>
      <c r="F1956" s="130"/>
      <c r="G1956" s="60"/>
      <c r="H1956" s="130"/>
      <c r="I1956" s="60"/>
      <c r="J1956" s="60"/>
      <c r="K1956" s="60"/>
      <c r="L1956" s="60"/>
      <c r="M1956" s="60"/>
    </row>
    <row r="1957">
      <c r="A1957" s="129"/>
      <c r="B1957" s="130"/>
      <c r="C1957" s="60"/>
      <c r="D1957" s="60"/>
      <c r="E1957" s="60"/>
      <c r="F1957" s="130"/>
      <c r="G1957" s="60"/>
      <c r="H1957" s="130"/>
      <c r="I1957" s="60"/>
      <c r="J1957" s="60"/>
      <c r="K1957" s="60"/>
      <c r="L1957" s="60"/>
      <c r="M1957" s="60"/>
    </row>
    <row r="1958">
      <c r="A1958" s="129"/>
      <c r="B1958" s="130"/>
      <c r="C1958" s="60"/>
      <c r="D1958" s="60"/>
      <c r="E1958" s="60"/>
      <c r="F1958" s="130"/>
      <c r="G1958" s="60"/>
      <c r="H1958" s="130"/>
      <c r="I1958" s="60"/>
      <c r="J1958" s="60"/>
      <c r="K1958" s="60"/>
      <c r="L1958" s="60"/>
      <c r="M1958" s="60"/>
    </row>
    <row r="1959">
      <c r="A1959" s="129"/>
      <c r="B1959" s="130"/>
      <c r="C1959" s="60"/>
      <c r="D1959" s="60"/>
      <c r="E1959" s="60"/>
      <c r="F1959" s="130"/>
      <c r="G1959" s="60"/>
      <c r="H1959" s="130"/>
      <c r="I1959" s="60"/>
      <c r="J1959" s="60"/>
      <c r="K1959" s="60"/>
      <c r="L1959" s="60"/>
      <c r="M1959" s="60"/>
    </row>
    <row r="1960">
      <c r="A1960" s="129"/>
      <c r="B1960" s="130"/>
      <c r="C1960" s="60"/>
      <c r="D1960" s="60"/>
      <c r="E1960" s="60"/>
      <c r="F1960" s="130"/>
      <c r="G1960" s="60"/>
      <c r="H1960" s="130"/>
      <c r="I1960" s="60"/>
      <c r="J1960" s="60"/>
      <c r="K1960" s="60"/>
      <c r="L1960" s="60"/>
      <c r="M1960" s="60"/>
    </row>
    <row r="1961">
      <c r="A1961" s="129"/>
      <c r="B1961" s="130"/>
      <c r="C1961" s="60"/>
      <c r="D1961" s="60"/>
      <c r="E1961" s="60"/>
      <c r="F1961" s="130"/>
      <c r="G1961" s="60"/>
      <c r="H1961" s="130"/>
      <c r="I1961" s="60"/>
      <c r="J1961" s="60"/>
      <c r="K1961" s="60"/>
      <c r="L1961" s="60"/>
      <c r="M1961" s="60"/>
    </row>
    <row r="1962">
      <c r="A1962" s="129"/>
      <c r="B1962" s="130"/>
      <c r="C1962" s="60"/>
      <c r="D1962" s="60"/>
      <c r="E1962" s="60"/>
      <c r="F1962" s="130"/>
      <c r="G1962" s="60"/>
      <c r="H1962" s="130"/>
      <c r="I1962" s="60"/>
      <c r="J1962" s="60"/>
      <c r="K1962" s="60"/>
      <c r="L1962" s="60"/>
      <c r="M1962" s="60"/>
    </row>
    <row r="1963">
      <c r="A1963" s="129"/>
      <c r="B1963" s="130"/>
      <c r="C1963" s="60"/>
      <c r="D1963" s="60"/>
      <c r="E1963" s="60"/>
      <c r="F1963" s="130"/>
      <c r="G1963" s="60"/>
      <c r="H1963" s="130"/>
      <c r="I1963" s="60"/>
      <c r="J1963" s="60"/>
      <c r="K1963" s="60"/>
      <c r="L1963" s="60"/>
      <c r="M1963" s="60"/>
    </row>
    <row r="1964">
      <c r="A1964" s="129"/>
      <c r="B1964" s="130"/>
      <c r="C1964" s="60"/>
      <c r="D1964" s="60"/>
      <c r="E1964" s="60"/>
      <c r="F1964" s="130"/>
      <c r="G1964" s="60"/>
      <c r="H1964" s="130"/>
      <c r="I1964" s="60"/>
      <c r="J1964" s="60"/>
      <c r="K1964" s="60"/>
      <c r="L1964" s="60"/>
      <c r="M1964" s="60"/>
    </row>
    <row r="1965">
      <c r="A1965" s="129"/>
      <c r="B1965" s="130"/>
      <c r="C1965" s="60"/>
      <c r="D1965" s="60"/>
      <c r="E1965" s="60"/>
      <c r="F1965" s="130"/>
      <c r="G1965" s="60"/>
      <c r="H1965" s="130"/>
      <c r="I1965" s="60"/>
      <c r="J1965" s="60"/>
      <c r="K1965" s="60"/>
      <c r="L1965" s="60"/>
      <c r="M1965" s="60"/>
    </row>
    <row r="1966">
      <c r="A1966" s="129"/>
      <c r="B1966" s="130"/>
      <c r="C1966" s="60"/>
      <c r="D1966" s="60"/>
      <c r="E1966" s="60"/>
      <c r="F1966" s="130"/>
      <c r="G1966" s="60"/>
      <c r="H1966" s="130"/>
      <c r="I1966" s="60"/>
      <c r="J1966" s="60"/>
      <c r="K1966" s="60"/>
      <c r="L1966" s="60"/>
      <c r="M1966" s="60"/>
    </row>
    <row r="1967">
      <c r="A1967" s="129"/>
      <c r="B1967" s="130"/>
      <c r="C1967" s="60"/>
      <c r="D1967" s="60"/>
      <c r="E1967" s="60"/>
      <c r="F1967" s="130"/>
      <c r="G1967" s="60"/>
      <c r="H1967" s="130"/>
      <c r="I1967" s="60"/>
      <c r="J1967" s="60"/>
      <c r="K1967" s="60"/>
      <c r="L1967" s="60"/>
      <c r="M1967" s="60"/>
    </row>
    <row r="1968">
      <c r="A1968" s="129"/>
      <c r="B1968" s="130"/>
      <c r="C1968" s="60"/>
      <c r="D1968" s="60"/>
      <c r="E1968" s="60"/>
      <c r="F1968" s="130"/>
      <c r="G1968" s="60"/>
      <c r="H1968" s="130"/>
      <c r="I1968" s="60"/>
      <c r="J1968" s="60"/>
      <c r="K1968" s="60"/>
      <c r="L1968" s="60"/>
      <c r="M1968" s="60"/>
    </row>
    <row r="1969">
      <c r="A1969" s="129"/>
      <c r="B1969" s="130"/>
      <c r="C1969" s="60"/>
      <c r="D1969" s="60"/>
      <c r="E1969" s="60"/>
      <c r="F1969" s="130"/>
      <c r="G1969" s="60"/>
      <c r="H1969" s="130"/>
      <c r="I1969" s="60"/>
      <c r="J1969" s="60"/>
      <c r="K1969" s="60"/>
      <c r="L1969" s="60"/>
      <c r="M1969" s="60"/>
    </row>
    <row r="1970">
      <c r="A1970" s="129"/>
      <c r="B1970" s="130"/>
      <c r="C1970" s="60"/>
      <c r="D1970" s="60"/>
      <c r="E1970" s="60"/>
      <c r="F1970" s="130"/>
      <c r="G1970" s="60"/>
      <c r="H1970" s="130"/>
      <c r="I1970" s="60"/>
      <c r="J1970" s="60"/>
      <c r="K1970" s="60"/>
      <c r="L1970" s="60"/>
      <c r="M1970" s="60"/>
    </row>
    <row r="1971">
      <c r="A1971" s="129"/>
      <c r="B1971" s="130"/>
      <c r="C1971" s="60"/>
      <c r="D1971" s="60"/>
      <c r="E1971" s="60"/>
      <c r="F1971" s="130"/>
      <c r="G1971" s="60"/>
      <c r="H1971" s="130"/>
      <c r="I1971" s="60"/>
      <c r="J1971" s="60"/>
      <c r="K1971" s="60"/>
      <c r="L1971" s="60"/>
      <c r="M1971" s="60"/>
    </row>
    <row r="1972">
      <c r="A1972" s="129"/>
      <c r="B1972" s="130"/>
      <c r="C1972" s="60"/>
      <c r="D1972" s="60"/>
      <c r="E1972" s="60"/>
      <c r="F1972" s="130"/>
      <c r="G1972" s="60"/>
      <c r="H1972" s="130"/>
      <c r="I1972" s="60"/>
      <c r="J1972" s="60"/>
      <c r="K1972" s="60"/>
      <c r="L1972" s="60"/>
      <c r="M1972" s="60"/>
    </row>
    <row r="1973">
      <c r="A1973" s="129"/>
      <c r="B1973" s="130"/>
      <c r="C1973" s="60"/>
      <c r="D1973" s="60"/>
      <c r="E1973" s="60"/>
      <c r="F1973" s="130"/>
      <c r="G1973" s="60"/>
      <c r="H1973" s="130"/>
      <c r="I1973" s="60"/>
      <c r="J1973" s="60"/>
      <c r="K1973" s="60"/>
      <c r="L1973" s="60"/>
      <c r="M1973" s="60"/>
    </row>
    <row r="1974">
      <c r="A1974" s="129"/>
      <c r="B1974" s="130"/>
      <c r="C1974" s="60"/>
      <c r="D1974" s="60"/>
      <c r="E1974" s="60"/>
      <c r="F1974" s="130"/>
      <c r="G1974" s="60"/>
      <c r="H1974" s="130"/>
      <c r="I1974" s="60"/>
      <c r="J1974" s="60"/>
      <c r="K1974" s="60"/>
      <c r="L1974" s="60"/>
      <c r="M1974" s="60"/>
    </row>
    <row r="1975">
      <c r="A1975" s="129"/>
      <c r="B1975" s="130"/>
      <c r="C1975" s="60"/>
      <c r="D1975" s="60"/>
      <c r="E1975" s="60"/>
      <c r="F1975" s="130"/>
      <c r="G1975" s="60"/>
      <c r="H1975" s="130"/>
      <c r="I1975" s="60"/>
      <c r="J1975" s="60"/>
      <c r="K1975" s="60"/>
      <c r="L1975" s="60"/>
      <c r="M1975" s="60"/>
    </row>
    <row r="1976">
      <c r="A1976" s="129"/>
      <c r="B1976" s="130"/>
      <c r="C1976" s="60"/>
      <c r="D1976" s="60"/>
      <c r="E1976" s="60"/>
      <c r="F1976" s="130"/>
      <c r="G1976" s="60"/>
      <c r="H1976" s="130"/>
      <c r="I1976" s="60"/>
      <c r="J1976" s="60"/>
      <c r="K1976" s="60"/>
      <c r="L1976" s="60"/>
      <c r="M1976" s="60"/>
    </row>
    <row r="1977">
      <c r="A1977" s="129"/>
      <c r="B1977" s="130"/>
      <c r="C1977" s="60"/>
      <c r="D1977" s="60"/>
      <c r="E1977" s="60"/>
      <c r="F1977" s="130"/>
      <c r="G1977" s="60"/>
      <c r="H1977" s="130"/>
      <c r="I1977" s="60"/>
      <c r="J1977" s="60"/>
      <c r="K1977" s="60"/>
      <c r="L1977" s="60"/>
      <c r="M1977" s="60"/>
    </row>
    <row r="1978">
      <c r="A1978" s="129"/>
      <c r="B1978" s="130"/>
      <c r="C1978" s="60"/>
      <c r="D1978" s="60"/>
      <c r="E1978" s="60"/>
      <c r="F1978" s="130"/>
      <c r="G1978" s="60"/>
      <c r="H1978" s="130"/>
      <c r="I1978" s="60"/>
      <c r="J1978" s="60"/>
      <c r="K1978" s="60"/>
      <c r="L1978" s="60"/>
      <c r="M1978" s="60"/>
    </row>
    <row r="1979">
      <c r="A1979" s="129"/>
      <c r="B1979" s="130"/>
      <c r="C1979" s="60"/>
      <c r="D1979" s="60"/>
      <c r="E1979" s="60"/>
      <c r="F1979" s="130"/>
      <c r="G1979" s="60"/>
      <c r="H1979" s="130"/>
      <c r="I1979" s="60"/>
      <c r="J1979" s="60"/>
      <c r="K1979" s="60"/>
      <c r="L1979" s="60"/>
      <c r="M1979" s="60"/>
    </row>
    <row r="1980">
      <c r="A1980" s="129"/>
      <c r="B1980" s="130"/>
      <c r="C1980" s="60"/>
      <c r="D1980" s="60"/>
      <c r="E1980" s="60"/>
      <c r="F1980" s="130"/>
      <c r="G1980" s="60"/>
      <c r="H1980" s="130"/>
      <c r="I1980" s="60"/>
      <c r="J1980" s="60"/>
      <c r="K1980" s="60"/>
      <c r="L1980" s="60"/>
      <c r="M1980" s="60"/>
    </row>
    <row r="1981">
      <c r="A1981" s="129"/>
      <c r="B1981" s="130"/>
      <c r="C1981" s="60"/>
      <c r="D1981" s="60"/>
      <c r="E1981" s="60"/>
      <c r="F1981" s="130"/>
      <c r="G1981" s="60"/>
      <c r="H1981" s="130"/>
      <c r="I1981" s="60"/>
      <c r="J1981" s="60"/>
      <c r="K1981" s="60"/>
      <c r="L1981" s="60"/>
      <c r="M1981" s="60"/>
    </row>
    <row r="1982">
      <c r="A1982" s="129"/>
      <c r="B1982" s="130"/>
      <c r="C1982" s="60"/>
      <c r="D1982" s="60"/>
      <c r="E1982" s="60"/>
      <c r="F1982" s="130"/>
      <c r="G1982" s="60"/>
      <c r="H1982" s="130"/>
      <c r="I1982" s="60"/>
      <c r="J1982" s="60"/>
      <c r="K1982" s="60"/>
      <c r="L1982" s="60"/>
      <c r="M1982" s="60"/>
    </row>
    <row r="1983">
      <c r="A1983" s="129"/>
      <c r="B1983" s="130"/>
      <c r="C1983" s="60"/>
      <c r="D1983" s="60"/>
      <c r="E1983" s="60"/>
      <c r="F1983" s="130"/>
      <c r="G1983" s="60"/>
      <c r="H1983" s="130"/>
      <c r="I1983" s="60"/>
      <c r="J1983" s="60"/>
      <c r="K1983" s="60"/>
      <c r="L1983" s="60"/>
      <c r="M1983" s="60"/>
    </row>
    <row r="1984">
      <c r="A1984" s="129"/>
      <c r="B1984" s="130"/>
      <c r="C1984" s="60"/>
      <c r="D1984" s="60"/>
      <c r="E1984" s="60"/>
      <c r="F1984" s="130"/>
      <c r="G1984" s="60"/>
      <c r="H1984" s="130"/>
      <c r="I1984" s="60"/>
      <c r="J1984" s="60"/>
      <c r="K1984" s="60"/>
      <c r="L1984" s="60"/>
      <c r="M1984" s="60"/>
    </row>
    <row r="1985">
      <c r="A1985" s="129"/>
      <c r="B1985" s="130"/>
      <c r="C1985" s="60"/>
      <c r="D1985" s="60"/>
      <c r="E1985" s="60"/>
      <c r="F1985" s="130"/>
      <c r="G1985" s="60"/>
      <c r="H1985" s="130"/>
      <c r="I1985" s="60"/>
      <c r="J1985" s="60"/>
      <c r="K1985" s="60"/>
      <c r="L1985" s="60"/>
      <c r="M1985" s="60"/>
    </row>
    <row r="1986">
      <c r="A1986" s="129"/>
      <c r="B1986" s="130"/>
      <c r="C1986" s="60"/>
      <c r="D1986" s="60"/>
      <c r="E1986" s="60"/>
      <c r="F1986" s="130"/>
      <c r="G1986" s="60"/>
      <c r="H1986" s="130"/>
      <c r="I1986" s="60"/>
      <c r="J1986" s="60"/>
      <c r="K1986" s="60"/>
      <c r="L1986" s="60"/>
      <c r="M1986" s="60"/>
    </row>
    <row r="1987">
      <c r="A1987" s="129"/>
      <c r="B1987" s="130"/>
      <c r="C1987" s="60"/>
      <c r="D1987" s="60"/>
      <c r="E1987" s="60"/>
      <c r="F1987" s="130"/>
      <c r="G1987" s="60"/>
      <c r="H1987" s="130"/>
      <c r="I1987" s="60"/>
      <c r="J1987" s="60"/>
      <c r="K1987" s="60"/>
      <c r="L1987" s="60"/>
      <c r="M1987" s="60"/>
    </row>
    <row r="1988">
      <c r="A1988" s="129"/>
      <c r="B1988" s="130"/>
      <c r="C1988" s="60"/>
      <c r="D1988" s="60"/>
      <c r="E1988" s="60"/>
      <c r="F1988" s="130"/>
      <c r="G1988" s="60"/>
      <c r="H1988" s="130"/>
      <c r="I1988" s="60"/>
      <c r="J1988" s="60"/>
      <c r="K1988" s="60"/>
      <c r="L1988" s="60"/>
      <c r="M1988" s="60"/>
    </row>
    <row r="1989">
      <c r="A1989" s="129"/>
      <c r="B1989" s="130"/>
      <c r="C1989" s="60"/>
      <c r="D1989" s="60"/>
      <c r="E1989" s="60"/>
      <c r="F1989" s="130"/>
      <c r="G1989" s="60"/>
      <c r="H1989" s="130"/>
      <c r="I1989" s="60"/>
      <c r="J1989" s="60"/>
      <c r="K1989" s="60"/>
      <c r="L1989" s="60"/>
      <c r="M1989" s="60"/>
    </row>
    <row r="1990">
      <c r="A1990" s="129"/>
      <c r="B1990" s="130"/>
      <c r="C1990" s="60"/>
      <c r="D1990" s="60"/>
      <c r="E1990" s="60"/>
      <c r="F1990" s="130"/>
      <c r="G1990" s="60"/>
      <c r="H1990" s="130"/>
      <c r="I1990" s="60"/>
      <c r="J1990" s="60"/>
      <c r="K1990" s="60"/>
      <c r="L1990" s="60"/>
      <c r="M1990" s="60"/>
    </row>
    <row r="1991">
      <c r="A1991" s="129"/>
      <c r="B1991" s="130"/>
      <c r="C1991" s="60"/>
      <c r="D1991" s="60"/>
      <c r="E1991" s="60"/>
      <c r="F1991" s="130"/>
      <c r="G1991" s="60"/>
      <c r="H1991" s="130"/>
      <c r="I1991" s="60"/>
      <c r="J1991" s="60"/>
      <c r="K1991" s="60"/>
      <c r="L1991" s="60"/>
      <c r="M1991" s="60"/>
    </row>
    <row r="1992">
      <c r="A1992" s="129"/>
      <c r="B1992" s="130"/>
      <c r="C1992" s="60"/>
      <c r="D1992" s="60"/>
      <c r="E1992" s="60"/>
      <c r="F1992" s="130"/>
      <c r="G1992" s="60"/>
      <c r="H1992" s="130"/>
      <c r="I1992" s="60"/>
      <c r="J1992" s="60"/>
      <c r="K1992" s="60"/>
      <c r="L1992" s="60"/>
      <c r="M1992" s="60"/>
    </row>
    <row r="1993">
      <c r="A1993" s="129"/>
      <c r="B1993" s="130"/>
      <c r="C1993" s="60"/>
      <c r="D1993" s="60"/>
      <c r="E1993" s="60"/>
      <c r="F1993" s="130"/>
      <c r="G1993" s="60"/>
      <c r="H1993" s="130"/>
      <c r="I1993" s="60"/>
      <c r="J1993" s="60"/>
      <c r="K1993" s="60"/>
      <c r="L1993" s="60"/>
      <c r="M1993" s="60"/>
    </row>
    <row r="1994">
      <c r="A1994" s="129"/>
      <c r="B1994" s="130"/>
      <c r="C1994" s="60"/>
      <c r="D1994" s="60"/>
      <c r="E1994" s="60"/>
      <c r="F1994" s="130"/>
      <c r="G1994" s="60"/>
      <c r="H1994" s="130"/>
      <c r="I1994" s="60"/>
      <c r="J1994" s="60"/>
      <c r="K1994" s="60"/>
      <c r="L1994" s="60"/>
      <c r="M1994" s="60"/>
    </row>
    <row r="1995">
      <c r="A1995" s="129"/>
      <c r="B1995" s="130"/>
      <c r="C1995" s="60"/>
      <c r="D1995" s="60"/>
      <c r="E1995" s="60"/>
      <c r="F1995" s="130"/>
      <c r="G1995" s="60"/>
      <c r="H1995" s="130"/>
      <c r="I1995" s="60"/>
      <c r="J1995" s="60"/>
      <c r="K1995" s="60"/>
      <c r="L1995" s="60"/>
      <c r="M1995" s="60"/>
    </row>
    <row r="1996">
      <c r="A1996" s="129"/>
      <c r="B1996" s="130"/>
      <c r="C1996" s="60"/>
      <c r="D1996" s="60"/>
      <c r="E1996" s="60"/>
      <c r="F1996" s="130"/>
      <c r="G1996" s="60"/>
      <c r="H1996" s="130"/>
      <c r="I1996" s="60"/>
      <c r="J1996" s="60"/>
      <c r="K1996" s="60"/>
      <c r="L1996" s="60"/>
      <c r="M1996" s="60"/>
    </row>
    <row r="1997">
      <c r="A1997" s="129"/>
      <c r="B1997" s="130"/>
      <c r="C1997" s="60"/>
      <c r="D1997" s="60"/>
      <c r="E1997" s="60"/>
      <c r="F1997" s="130"/>
      <c r="G1997" s="60"/>
      <c r="H1997" s="130"/>
      <c r="I1997" s="60"/>
      <c r="J1997" s="60"/>
      <c r="K1997" s="60"/>
      <c r="L1997" s="60"/>
      <c r="M1997" s="60"/>
    </row>
    <row r="1998">
      <c r="A1998" s="129"/>
      <c r="B1998" s="130"/>
      <c r="C1998" s="60"/>
      <c r="D1998" s="60"/>
      <c r="E1998" s="60"/>
      <c r="F1998" s="130"/>
      <c r="G1998" s="60"/>
      <c r="H1998" s="130"/>
      <c r="I1998" s="60"/>
      <c r="J1998" s="60"/>
      <c r="K1998" s="60"/>
      <c r="L1998" s="60"/>
      <c r="M1998" s="60"/>
    </row>
    <row r="1999">
      <c r="A1999" s="129"/>
      <c r="B1999" s="130"/>
      <c r="C1999" s="60"/>
      <c r="D1999" s="60"/>
      <c r="E1999" s="60"/>
      <c r="F1999" s="130"/>
      <c r="G1999" s="60"/>
      <c r="H1999" s="130"/>
      <c r="I1999" s="60"/>
      <c r="J1999" s="60"/>
      <c r="K1999" s="60"/>
      <c r="L1999" s="60"/>
      <c r="M1999" s="60"/>
    </row>
    <row r="2000">
      <c r="A2000" s="129"/>
      <c r="B2000" s="130"/>
      <c r="C2000" s="60"/>
      <c r="D2000" s="60"/>
      <c r="E2000" s="60"/>
      <c r="F2000" s="130"/>
      <c r="G2000" s="60"/>
      <c r="H2000" s="130"/>
      <c r="I2000" s="60"/>
      <c r="J2000" s="60"/>
      <c r="K2000" s="60"/>
      <c r="L2000" s="60"/>
      <c r="M2000" s="60"/>
    </row>
    <row r="2001">
      <c r="A2001" s="129"/>
      <c r="B2001" s="130"/>
      <c r="C2001" s="60"/>
      <c r="D2001" s="60"/>
      <c r="E2001" s="60"/>
      <c r="F2001" s="130"/>
      <c r="G2001" s="60"/>
      <c r="H2001" s="130"/>
      <c r="I2001" s="60"/>
      <c r="J2001" s="60"/>
      <c r="K2001" s="60"/>
      <c r="L2001" s="60"/>
      <c r="M2001" s="60"/>
    </row>
    <row r="2002">
      <c r="A2002" s="129"/>
      <c r="B2002" s="130"/>
      <c r="C2002" s="60"/>
      <c r="D2002" s="60"/>
      <c r="E2002" s="60"/>
      <c r="F2002" s="130"/>
      <c r="G2002" s="60"/>
      <c r="H2002" s="130"/>
      <c r="I2002" s="60"/>
      <c r="J2002" s="60"/>
      <c r="K2002" s="60"/>
      <c r="L2002" s="60"/>
      <c r="M2002" s="60"/>
    </row>
    <row r="2003">
      <c r="A2003" s="129"/>
      <c r="B2003" s="130"/>
      <c r="C2003" s="60"/>
      <c r="D2003" s="60"/>
      <c r="E2003" s="60"/>
      <c r="F2003" s="130"/>
      <c r="G2003" s="60"/>
      <c r="H2003" s="130"/>
      <c r="I2003" s="60"/>
      <c r="J2003" s="60"/>
      <c r="K2003" s="60"/>
      <c r="L2003" s="60"/>
      <c r="M2003" s="60"/>
    </row>
    <row r="2004">
      <c r="A2004" s="129"/>
      <c r="B2004" s="130"/>
      <c r="C2004" s="60"/>
      <c r="D2004" s="60"/>
      <c r="E2004" s="60"/>
      <c r="F2004" s="130"/>
      <c r="G2004" s="60"/>
      <c r="H2004" s="130"/>
      <c r="I2004" s="60"/>
      <c r="J2004" s="60"/>
      <c r="K2004" s="60"/>
      <c r="L2004" s="60"/>
      <c r="M2004" s="60"/>
    </row>
    <row r="2005">
      <c r="A2005" s="129"/>
      <c r="B2005" s="130"/>
      <c r="C2005" s="60"/>
      <c r="D2005" s="60"/>
      <c r="E2005" s="60"/>
      <c r="F2005" s="130"/>
      <c r="G2005" s="60"/>
      <c r="H2005" s="130"/>
      <c r="I2005" s="60"/>
      <c r="J2005" s="60"/>
      <c r="K2005" s="60"/>
      <c r="L2005" s="60"/>
      <c r="M2005" s="60"/>
    </row>
    <row r="2006">
      <c r="A2006" s="129"/>
      <c r="B2006" s="130"/>
      <c r="C2006" s="60"/>
      <c r="D2006" s="60"/>
      <c r="E2006" s="60"/>
      <c r="F2006" s="130"/>
      <c r="G2006" s="60"/>
      <c r="H2006" s="130"/>
      <c r="I2006" s="60"/>
      <c r="J2006" s="60"/>
      <c r="K2006" s="60"/>
      <c r="L2006" s="60"/>
      <c r="M2006" s="60"/>
    </row>
    <row r="2007">
      <c r="A2007" s="129"/>
      <c r="B2007" s="130"/>
      <c r="C2007" s="60"/>
      <c r="D2007" s="60"/>
      <c r="E2007" s="60"/>
      <c r="F2007" s="130"/>
      <c r="G2007" s="60"/>
      <c r="H2007" s="130"/>
      <c r="I2007" s="60"/>
      <c r="J2007" s="60"/>
      <c r="K2007" s="60"/>
      <c r="L2007" s="60"/>
      <c r="M2007" s="60"/>
    </row>
  </sheetData>
  <autoFilter ref="$B$1:$B$1006">
    <filterColumn colId="0">
      <filters>
        <filter val="Mid-day"/>
        <filter val="Evening"/>
        <filter val="Morning"/>
      </filters>
    </filterColumn>
  </autoFilter>
  <hyperlinks>
    <hyperlink r:id="rId1" ref="E5"/>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4" t="s">
        <v>6</v>
      </c>
      <c r="C1" s="4" t="s">
        <v>8</v>
      </c>
      <c r="D1" s="4" t="s">
        <v>9</v>
      </c>
      <c r="E1" s="4" t="s">
        <v>10</v>
      </c>
      <c r="F1" s="4" t="s">
        <v>11</v>
      </c>
      <c r="G1" s="4" t="s">
        <v>12</v>
      </c>
      <c r="H1" s="4" t="s">
        <v>14</v>
      </c>
      <c r="I1" s="4" t="s">
        <v>15</v>
      </c>
      <c r="J1" s="4" t="s">
        <v>16</v>
      </c>
      <c r="K1" s="4" t="s">
        <v>17</v>
      </c>
      <c r="L1" s="4" t="s">
        <v>18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s>
  <sheetData>
    <row r="1">
      <c r="A1" s="65" t="s">
        <v>388</v>
      </c>
      <c r="B1" s="65" t="s">
        <v>3</v>
      </c>
      <c r="C1" s="65" t="s">
        <v>391</v>
      </c>
      <c r="D1" s="65" t="s">
        <v>392</v>
      </c>
      <c r="E1" s="65" t="s">
        <v>12</v>
      </c>
    </row>
    <row r="2">
      <c r="A2" s="66">
        <v>45528.0</v>
      </c>
      <c r="B2" s="7" t="s">
        <v>156</v>
      </c>
      <c r="C2" s="28"/>
      <c r="E2" s="28"/>
    </row>
    <row r="3">
      <c r="A3" s="28"/>
      <c r="B3" s="28"/>
      <c r="C3" s="28"/>
      <c r="E3" s="28"/>
    </row>
    <row r="4">
      <c r="A4" s="28"/>
      <c r="B4" s="28"/>
      <c r="C4" s="28"/>
      <c r="E4" s="28"/>
    </row>
    <row r="5">
      <c r="A5" s="28"/>
      <c r="B5" s="28"/>
      <c r="C5" s="28"/>
      <c r="E5" s="28"/>
    </row>
    <row r="6">
      <c r="A6" s="28"/>
      <c r="B6" s="28"/>
      <c r="C6" s="28"/>
      <c r="E6" s="28"/>
    </row>
    <row r="7">
      <c r="A7" s="28"/>
      <c r="B7" s="28"/>
      <c r="C7" s="28"/>
      <c r="E7" s="28"/>
    </row>
    <row r="8">
      <c r="A8" s="28"/>
      <c r="B8" s="28"/>
      <c r="C8" s="28"/>
      <c r="E8" s="28"/>
    </row>
    <row r="9">
      <c r="A9" s="28"/>
      <c r="B9" s="28"/>
      <c r="C9" s="28"/>
      <c r="E9" s="28"/>
    </row>
    <row r="10">
      <c r="A10" s="28"/>
      <c r="B10" s="28"/>
      <c r="C10" s="28"/>
      <c r="E10" s="28"/>
    </row>
    <row r="11">
      <c r="A11" s="28"/>
      <c r="B11" s="28"/>
      <c r="C11" s="28"/>
      <c r="E11" s="28"/>
    </row>
    <row r="12">
      <c r="A12" s="28"/>
      <c r="B12" s="28"/>
      <c r="C12" s="28"/>
      <c r="E12" s="28"/>
    </row>
    <row r="13">
      <c r="A13" s="28"/>
      <c r="B13" s="28"/>
      <c r="C13" s="28"/>
      <c r="E13" s="28"/>
    </row>
    <row r="14">
      <c r="A14" s="28"/>
      <c r="B14" s="28"/>
      <c r="C14" s="28"/>
      <c r="E14" s="28"/>
    </row>
    <row r="15">
      <c r="A15" s="28"/>
      <c r="B15" s="28"/>
      <c r="C15" s="28"/>
      <c r="E15" s="28"/>
    </row>
    <row r="16">
      <c r="A16" s="28"/>
      <c r="B16" s="28"/>
      <c r="C16" s="28"/>
      <c r="E16" s="28"/>
    </row>
    <row r="17">
      <c r="A17" s="28"/>
      <c r="B17" s="28"/>
      <c r="C17" s="28"/>
      <c r="E17" s="28"/>
    </row>
    <row r="18">
      <c r="A18" s="28"/>
      <c r="B18" s="28"/>
      <c r="C18" s="28"/>
      <c r="E18" s="28"/>
    </row>
    <row r="19">
      <c r="A19" s="28"/>
      <c r="B19" s="28"/>
      <c r="C19" s="28"/>
      <c r="E19" s="28"/>
    </row>
    <row r="20">
      <c r="A20" s="28"/>
      <c r="B20" s="28"/>
      <c r="C20" s="28"/>
      <c r="E20" s="28"/>
    </row>
    <row r="21">
      <c r="A21" s="28"/>
      <c r="B21" s="28"/>
      <c r="C21" s="28"/>
      <c r="E21" s="28"/>
    </row>
    <row r="22">
      <c r="A22" s="28"/>
      <c r="B22" s="28"/>
      <c r="C22" s="28"/>
      <c r="E22" s="28"/>
    </row>
    <row r="23">
      <c r="A23" s="28"/>
      <c r="B23" s="28"/>
      <c r="C23" s="28"/>
      <c r="E23" s="28"/>
    </row>
    <row r="24">
      <c r="A24" s="28"/>
      <c r="B24" s="28"/>
      <c r="C24" s="28"/>
      <c r="E24" s="28"/>
    </row>
    <row r="25">
      <c r="A25" s="28"/>
      <c r="B25" s="28"/>
      <c r="C25" s="28"/>
      <c r="E25" s="28"/>
    </row>
    <row r="26">
      <c r="A26" s="28"/>
      <c r="B26" s="28"/>
      <c r="C26" s="28"/>
      <c r="E26" s="28"/>
    </row>
    <row r="27">
      <c r="A27" s="28"/>
      <c r="B27" s="28"/>
      <c r="C27" s="28"/>
      <c r="E27" s="28"/>
    </row>
    <row r="28">
      <c r="A28" s="28"/>
      <c r="B28" s="28"/>
      <c r="C28" s="28"/>
      <c r="E28" s="28"/>
    </row>
    <row r="29">
      <c r="A29" s="28"/>
      <c r="B29" s="28"/>
      <c r="C29" s="28"/>
      <c r="E29" s="28"/>
    </row>
    <row r="30">
      <c r="A30" s="28"/>
      <c r="B30" s="28"/>
      <c r="C30" s="28"/>
      <c r="E30" s="28"/>
    </row>
    <row r="31">
      <c r="A31" s="28"/>
      <c r="B31" s="28"/>
      <c r="C31" s="28"/>
      <c r="E31" s="28"/>
    </row>
    <row r="32">
      <c r="A32" s="28"/>
      <c r="B32" s="28"/>
      <c r="C32" s="28"/>
      <c r="E32" s="28"/>
    </row>
    <row r="33">
      <c r="A33" s="28"/>
      <c r="B33" s="28"/>
      <c r="C33" s="28"/>
      <c r="E33" s="28"/>
    </row>
    <row r="34">
      <c r="A34" s="28"/>
      <c r="B34" s="28"/>
      <c r="C34" s="28"/>
      <c r="E34" s="28"/>
    </row>
    <row r="35">
      <c r="A35" s="28"/>
      <c r="B35" s="28"/>
      <c r="C35" s="28"/>
      <c r="E35" s="28"/>
    </row>
    <row r="36">
      <c r="A36" s="28"/>
      <c r="B36" s="28"/>
      <c r="C36" s="28"/>
      <c r="E36" s="28"/>
    </row>
    <row r="37">
      <c r="A37" s="28"/>
      <c r="B37" s="28"/>
      <c r="C37" s="28"/>
      <c r="E37" s="28"/>
    </row>
    <row r="38">
      <c r="A38" s="28"/>
      <c r="B38" s="28"/>
      <c r="C38" s="28"/>
      <c r="E38" s="28"/>
    </row>
    <row r="39">
      <c r="A39" s="28"/>
      <c r="B39" s="28"/>
      <c r="C39" s="28"/>
      <c r="E39" s="28"/>
    </row>
    <row r="40">
      <c r="A40" s="28"/>
      <c r="B40" s="28"/>
      <c r="C40" s="28"/>
      <c r="E40" s="28"/>
    </row>
    <row r="41">
      <c r="A41" s="28"/>
      <c r="B41" s="28"/>
      <c r="C41" s="28"/>
      <c r="E41" s="28"/>
    </row>
    <row r="42">
      <c r="A42" s="28"/>
      <c r="B42" s="28"/>
      <c r="C42" s="28"/>
      <c r="E42" s="28"/>
    </row>
    <row r="43">
      <c r="A43" s="28"/>
      <c r="B43" s="28"/>
      <c r="C43" s="28"/>
      <c r="E43" s="28"/>
    </row>
    <row r="44">
      <c r="A44" s="28"/>
      <c r="B44" s="28"/>
      <c r="C44" s="28"/>
      <c r="E44" s="28"/>
    </row>
    <row r="45">
      <c r="A45" s="28"/>
      <c r="B45" s="28"/>
      <c r="C45" s="28"/>
      <c r="E45" s="28"/>
    </row>
    <row r="46">
      <c r="A46" s="28"/>
      <c r="B46" s="28"/>
      <c r="C46" s="28"/>
      <c r="E46" s="28"/>
    </row>
    <row r="47">
      <c r="A47" s="28"/>
      <c r="B47" s="28"/>
      <c r="C47" s="28"/>
      <c r="E47" s="28"/>
    </row>
    <row r="48">
      <c r="A48" s="28"/>
      <c r="B48" s="28"/>
      <c r="C48" s="28"/>
      <c r="E48" s="28"/>
    </row>
    <row r="49">
      <c r="A49" s="28"/>
      <c r="B49" s="28"/>
      <c r="C49" s="28"/>
      <c r="E49" s="28"/>
    </row>
    <row r="50">
      <c r="A50" s="28"/>
      <c r="B50" s="28"/>
      <c r="C50" s="28"/>
      <c r="E50" s="28"/>
    </row>
    <row r="51">
      <c r="A51" s="28"/>
      <c r="B51" s="28"/>
      <c r="C51" s="28"/>
      <c r="E51" s="28"/>
    </row>
    <row r="52">
      <c r="A52" s="28"/>
      <c r="B52" s="28"/>
      <c r="C52" s="28"/>
      <c r="E52" s="28"/>
    </row>
    <row r="53">
      <c r="A53" s="28"/>
      <c r="B53" s="28"/>
      <c r="C53" s="28"/>
      <c r="E53" s="28"/>
    </row>
    <row r="54">
      <c r="A54" s="28"/>
      <c r="B54" s="28"/>
      <c r="C54" s="28"/>
      <c r="E54" s="28"/>
    </row>
    <row r="55">
      <c r="A55" s="28"/>
      <c r="B55" s="28"/>
      <c r="C55" s="28"/>
      <c r="E55" s="28"/>
    </row>
    <row r="56">
      <c r="A56" s="28"/>
      <c r="B56" s="28"/>
      <c r="C56" s="28"/>
      <c r="E56" s="28"/>
    </row>
    <row r="57">
      <c r="A57" s="28"/>
      <c r="B57" s="28"/>
      <c r="C57" s="28"/>
      <c r="E57" s="28"/>
    </row>
    <row r="58">
      <c r="A58" s="28"/>
      <c r="B58" s="28"/>
      <c r="C58" s="28"/>
      <c r="E58" s="28"/>
    </row>
    <row r="59">
      <c r="A59" s="28"/>
      <c r="B59" s="28"/>
      <c r="C59" s="28"/>
      <c r="E59" s="28"/>
    </row>
    <row r="60">
      <c r="A60" s="28"/>
      <c r="B60" s="28"/>
      <c r="C60" s="28"/>
      <c r="E60" s="28"/>
    </row>
    <row r="61">
      <c r="A61" s="28"/>
      <c r="B61" s="28"/>
      <c r="C61" s="28"/>
      <c r="E61" s="28"/>
    </row>
    <row r="62">
      <c r="A62" s="28"/>
      <c r="B62" s="28"/>
      <c r="C62" s="28"/>
      <c r="E62" s="28"/>
    </row>
    <row r="63">
      <c r="A63" s="28"/>
      <c r="B63" s="28"/>
      <c r="C63" s="28"/>
      <c r="E63" s="28"/>
    </row>
    <row r="64">
      <c r="A64" s="28"/>
      <c r="B64" s="28"/>
      <c r="C64" s="28"/>
      <c r="E64" s="28"/>
    </row>
    <row r="65">
      <c r="A65" s="28"/>
      <c r="B65" s="28"/>
      <c r="C65" s="28"/>
      <c r="E65" s="28"/>
    </row>
    <row r="66">
      <c r="A66" s="28"/>
      <c r="B66" s="28"/>
      <c r="C66" s="28"/>
      <c r="E66" s="28"/>
    </row>
    <row r="67">
      <c r="A67" s="28"/>
      <c r="B67" s="28"/>
      <c r="C67" s="28"/>
      <c r="E67" s="28"/>
    </row>
    <row r="68">
      <c r="A68" s="28"/>
      <c r="B68" s="28"/>
      <c r="C68" s="28"/>
      <c r="E68" s="28"/>
    </row>
    <row r="69">
      <c r="A69" s="28"/>
      <c r="B69" s="28"/>
      <c r="C69" s="28"/>
      <c r="E69" s="28"/>
    </row>
    <row r="70">
      <c r="A70" s="28"/>
      <c r="B70" s="28"/>
      <c r="C70" s="28"/>
      <c r="E70" s="28"/>
    </row>
    <row r="71">
      <c r="A71" s="28"/>
      <c r="B71" s="28"/>
      <c r="C71" s="28"/>
      <c r="E71" s="28"/>
    </row>
    <row r="72">
      <c r="A72" s="28"/>
      <c r="B72" s="28"/>
      <c r="C72" s="28"/>
      <c r="E72" s="28"/>
    </row>
    <row r="73">
      <c r="A73" s="28"/>
      <c r="B73" s="28"/>
      <c r="C73" s="28"/>
      <c r="E73" s="28"/>
    </row>
    <row r="74">
      <c r="A74" s="28"/>
      <c r="B74" s="28"/>
      <c r="C74" s="28"/>
      <c r="E74" s="28"/>
    </row>
    <row r="75">
      <c r="A75" s="28"/>
      <c r="B75" s="28"/>
      <c r="C75" s="28"/>
      <c r="E75" s="28"/>
    </row>
    <row r="76">
      <c r="A76" s="28"/>
      <c r="B76" s="28"/>
      <c r="C76" s="28"/>
      <c r="E76" s="28"/>
    </row>
    <row r="77">
      <c r="A77" s="28"/>
      <c r="B77" s="28"/>
      <c r="C77" s="28"/>
      <c r="E77" s="28"/>
    </row>
    <row r="78">
      <c r="A78" s="28"/>
      <c r="B78" s="28"/>
      <c r="C78" s="28"/>
      <c r="E78" s="28"/>
    </row>
    <row r="79">
      <c r="A79" s="28"/>
      <c r="B79" s="28"/>
      <c r="C79" s="28"/>
      <c r="E79" s="28"/>
    </row>
    <row r="80">
      <c r="A80" s="28"/>
      <c r="B80" s="28"/>
      <c r="C80" s="28"/>
      <c r="E80" s="28"/>
    </row>
    <row r="81">
      <c r="A81" s="28"/>
      <c r="B81" s="28"/>
      <c r="C81" s="28"/>
      <c r="E81" s="28"/>
    </row>
    <row r="82">
      <c r="A82" s="28"/>
      <c r="B82" s="28"/>
      <c r="C82" s="28"/>
      <c r="E82" s="28"/>
    </row>
    <row r="83">
      <c r="A83" s="28"/>
      <c r="B83" s="28"/>
      <c r="C83" s="28"/>
      <c r="E83" s="28"/>
    </row>
    <row r="84">
      <c r="A84" s="28"/>
      <c r="B84" s="28"/>
      <c r="C84" s="28"/>
      <c r="E84" s="28"/>
    </row>
    <row r="85">
      <c r="A85" s="28"/>
      <c r="B85" s="28"/>
      <c r="C85" s="28"/>
      <c r="E85" s="28"/>
    </row>
    <row r="86">
      <c r="A86" s="28"/>
      <c r="B86" s="28"/>
      <c r="C86" s="28"/>
      <c r="E86" s="28"/>
    </row>
    <row r="87">
      <c r="A87" s="28"/>
      <c r="B87" s="28"/>
      <c r="C87" s="28"/>
      <c r="E87" s="28"/>
    </row>
    <row r="88">
      <c r="A88" s="28"/>
      <c r="B88" s="28"/>
      <c r="C88" s="28"/>
      <c r="E88" s="28"/>
    </row>
    <row r="89">
      <c r="A89" s="28"/>
      <c r="B89" s="28"/>
      <c r="C89" s="28"/>
      <c r="E89" s="28"/>
    </row>
    <row r="90">
      <c r="A90" s="28"/>
      <c r="B90" s="28"/>
      <c r="C90" s="28"/>
      <c r="E90" s="28"/>
    </row>
    <row r="91">
      <c r="A91" s="28"/>
      <c r="B91" s="28"/>
      <c r="C91" s="28"/>
      <c r="E91" s="28"/>
    </row>
    <row r="92">
      <c r="A92" s="28"/>
      <c r="B92" s="28"/>
      <c r="C92" s="28"/>
      <c r="E92" s="28"/>
    </row>
    <row r="93">
      <c r="A93" s="28"/>
      <c r="B93" s="28"/>
      <c r="C93" s="28"/>
      <c r="E93" s="28"/>
    </row>
    <row r="94">
      <c r="A94" s="28"/>
      <c r="B94" s="28"/>
      <c r="C94" s="28"/>
      <c r="E94" s="28"/>
    </row>
    <row r="95">
      <c r="A95" s="28"/>
      <c r="B95" s="28"/>
      <c r="C95" s="28"/>
      <c r="E95" s="28"/>
    </row>
    <row r="96">
      <c r="A96" s="28"/>
      <c r="B96" s="28"/>
      <c r="C96" s="28"/>
      <c r="E96" s="28"/>
    </row>
    <row r="97">
      <c r="A97" s="28"/>
      <c r="B97" s="28"/>
      <c r="C97" s="28"/>
      <c r="E97" s="28"/>
    </row>
    <row r="98">
      <c r="A98" s="28"/>
      <c r="B98" s="28"/>
      <c r="C98" s="28"/>
      <c r="E98" s="28"/>
    </row>
    <row r="99">
      <c r="A99" s="28"/>
      <c r="B99" s="28"/>
      <c r="C99" s="28"/>
      <c r="E99" s="28"/>
    </row>
    <row r="100">
      <c r="A100" s="28"/>
      <c r="B100" s="28"/>
      <c r="C100" s="28"/>
      <c r="E100" s="28"/>
    </row>
    <row r="101">
      <c r="A101" s="28"/>
      <c r="B101" s="28"/>
      <c r="C101" s="28"/>
      <c r="E101" s="28"/>
    </row>
    <row r="102">
      <c r="A102" s="28"/>
      <c r="B102" s="28"/>
      <c r="C102" s="28"/>
      <c r="E102" s="28"/>
    </row>
    <row r="103">
      <c r="A103" s="28"/>
      <c r="B103" s="28"/>
      <c r="C103" s="28"/>
      <c r="E103" s="28"/>
    </row>
    <row r="104">
      <c r="A104" s="28"/>
      <c r="B104" s="28"/>
      <c r="C104" s="28"/>
      <c r="E104" s="28"/>
    </row>
    <row r="105">
      <c r="A105" s="28"/>
      <c r="B105" s="28"/>
      <c r="C105" s="28"/>
      <c r="E105" s="28"/>
    </row>
    <row r="106">
      <c r="A106" s="28"/>
      <c r="B106" s="28"/>
      <c r="C106" s="28"/>
      <c r="E106" s="28"/>
    </row>
    <row r="107">
      <c r="A107" s="28"/>
      <c r="B107" s="28"/>
      <c r="C107" s="28"/>
      <c r="E107" s="28"/>
    </row>
    <row r="108">
      <c r="A108" s="28"/>
      <c r="B108" s="28"/>
      <c r="C108" s="28"/>
      <c r="E108" s="28"/>
    </row>
    <row r="109">
      <c r="A109" s="28"/>
      <c r="B109" s="28"/>
      <c r="C109" s="28"/>
      <c r="E109" s="28"/>
    </row>
    <row r="110">
      <c r="A110" s="28"/>
      <c r="B110" s="28"/>
      <c r="C110" s="28"/>
      <c r="E110" s="28"/>
    </row>
    <row r="111">
      <c r="A111" s="28"/>
      <c r="B111" s="28"/>
      <c r="C111" s="28"/>
      <c r="E111" s="28"/>
    </row>
    <row r="112">
      <c r="A112" s="28"/>
      <c r="B112" s="28"/>
      <c r="C112" s="28"/>
      <c r="E112" s="28"/>
    </row>
    <row r="113">
      <c r="A113" s="28"/>
      <c r="B113" s="28"/>
      <c r="C113" s="28"/>
      <c r="E113" s="28"/>
    </row>
    <row r="114">
      <c r="A114" s="28"/>
      <c r="B114" s="28"/>
      <c r="C114" s="28"/>
      <c r="E114" s="28"/>
    </row>
    <row r="115">
      <c r="A115" s="28"/>
      <c r="B115" s="28"/>
      <c r="C115" s="28"/>
      <c r="E115" s="28"/>
    </row>
    <row r="116">
      <c r="A116" s="28"/>
      <c r="B116" s="28"/>
      <c r="C116" s="28"/>
      <c r="E116" s="28"/>
    </row>
    <row r="117">
      <c r="A117" s="28"/>
      <c r="B117" s="28"/>
      <c r="C117" s="28"/>
      <c r="E117" s="28"/>
    </row>
    <row r="118">
      <c r="A118" s="28"/>
      <c r="B118" s="28"/>
      <c r="C118" s="28"/>
      <c r="E118" s="28"/>
    </row>
    <row r="119">
      <c r="A119" s="28"/>
      <c r="B119" s="28"/>
      <c r="C119" s="28"/>
      <c r="E119" s="28"/>
    </row>
    <row r="120">
      <c r="A120" s="28"/>
      <c r="B120" s="28"/>
      <c r="C120" s="28"/>
      <c r="E120" s="28"/>
    </row>
    <row r="121">
      <c r="A121" s="28"/>
      <c r="B121" s="28"/>
      <c r="C121" s="28"/>
      <c r="E121" s="28"/>
    </row>
    <row r="122">
      <c r="A122" s="28"/>
      <c r="B122" s="28"/>
      <c r="C122" s="28"/>
      <c r="E122" s="28"/>
    </row>
    <row r="123">
      <c r="A123" s="28"/>
      <c r="B123" s="28"/>
      <c r="C123" s="28"/>
      <c r="E123" s="28"/>
    </row>
    <row r="124">
      <c r="A124" s="28"/>
      <c r="B124" s="28"/>
      <c r="C124" s="28"/>
      <c r="E124" s="28"/>
    </row>
    <row r="125">
      <c r="A125" s="28"/>
      <c r="B125" s="28"/>
      <c r="C125" s="28"/>
      <c r="E125" s="28"/>
    </row>
    <row r="126">
      <c r="A126" s="28"/>
      <c r="B126" s="28"/>
      <c r="C126" s="28"/>
      <c r="E126" s="28"/>
    </row>
    <row r="127">
      <c r="A127" s="28"/>
      <c r="B127" s="28"/>
      <c r="C127" s="28"/>
      <c r="E127" s="28"/>
    </row>
    <row r="128">
      <c r="A128" s="28"/>
      <c r="B128" s="28"/>
      <c r="C128" s="28"/>
      <c r="E128" s="28"/>
    </row>
    <row r="129">
      <c r="A129" s="28"/>
      <c r="B129" s="28"/>
      <c r="C129" s="28"/>
      <c r="E129" s="28"/>
    </row>
    <row r="130">
      <c r="A130" s="28"/>
      <c r="B130" s="28"/>
      <c r="C130" s="28"/>
      <c r="E130" s="28"/>
    </row>
    <row r="131">
      <c r="A131" s="28"/>
      <c r="B131" s="28"/>
      <c r="C131" s="28"/>
      <c r="E131" s="28"/>
    </row>
    <row r="132">
      <c r="A132" s="28"/>
      <c r="B132" s="28"/>
      <c r="C132" s="28"/>
      <c r="E132" s="28"/>
    </row>
    <row r="133">
      <c r="A133" s="28"/>
      <c r="B133" s="28"/>
      <c r="C133" s="28"/>
      <c r="E133" s="28"/>
    </row>
    <row r="134">
      <c r="A134" s="28"/>
      <c r="B134" s="28"/>
      <c r="C134" s="28"/>
      <c r="E134" s="28"/>
    </row>
    <row r="135">
      <c r="A135" s="28"/>
      <c r="B135" s="28"/>
      <c r="C135" s="28"/>
      <c r="E135" s="28"/>
    </row>
    <row r="136">
      <c r="A136" s="28"/>
      <c r="B136" s="28"/>
      <c r="C136" s="28"/>
      <c r="E136" s="28"/>
    </row>
    <row r="137">
      <c r="A137" s="28"/>
      <c r="B137" s="28"/>
      <c r="C137" s="28"/>
      <c r="E137" s="28"/>
    </row>
    <row r="138">
      <c r="A138" s="28"/>
      <c r="B138" s="28"/>
      <c r="C138" s="28"/>
      <c r="E138" s="28"/>
    </row>
    <row r="139">
      <c r="A139" s="28"/>
      <c r="B139" s="28"/>
      <c r="C139" s="28"/>
      <c r="E139" s="28"/>
    </row>
    <row r="140">
      <c r="A140" s="28"/>
      <c r="B140" s="28"/>
      <c r="C140" s="28"/>
      <c r="E140" s="28"/>
    </row>
    <row r="141">
      <c r="A141" s="28"/>
      <c r="B141" s="28"/>
      <c r="C141" s="28"/>
      <c r="E141" s="28"/>
    </row>
    <row r="142">
      <c r="A142" s="28"/>
      <c r="B142" s="28"/>
      <c r="C142" s="28"/>
      <c r="E142" s="28"/>
    </row>
    <row r="143">
      <c r="A143" s="28"/>
      <c r="B143" s="28"/>
      <c r="C143" s="28"/>
      <c r="E143" s="28"/>
    </row>
    <row r="144">
      <c r="A144" s="28"/>
      <c r="B144" s="28"/>
      <c r="C144" s="28"/>
      <c r="E144" s="28"/>
    </row>
    <row r="145">
      <c r="A145" s="28"/>
      <c r="B145" s="28"/>
      <c r="C145" s="28"/>
      <c r="E145" s="28"/>
    </row>
    <row r="146">
      <c r="A146" s="28"/>
      <c r="B146" s="28"/>
      <c r="C146" s="28"/>
      <c r="E146" s="28"/>
    </row>
    <row r="147">
      <c r="A147" s="28"/>
      <c r="B147" s="28"/>
      <c r="C147" s="28"/>
      <c r="E147" s="28"/>
    </row>
    <row r="148">
      <c r="A148" s="28"/>
      <c r="B148" s="28"/>
      <c r="C148" s="28"/>
      <c r="E148" s="28"/>
    </row>
    <row r="149">
      <c r="A149" s="28"/>
      <c r="B149" s="28"/>
      <c r="C149" s="28"/>
      <c r="E149" s="28"/>
    </row>
    <row r="150">
      <c r="A150" s="28"/>
      <c r="B150" s="28"/>
      <c r="C150" s="28"/>
      <c r="E150" s="28"/>
    </row>
    <row r="151">
      <c r="A151" s="28"/>
      <c r="B151" s="28"/>
      <c r="C151" s="28"/>
      <c r="E151" s="28"/>
    </row>
    <row r="152">
      <c r="A152" s="28"/>
      <c r="B152" s="28"/>
      <c r="C152" s="28"/>
      <c r="E152" s="28"/>
    </row>
    <row r="153">
      <c r="A153" s="28"/>
      <c r="B153" s="28"/>
      <c r="C153" s="28"/>
      <c r="E153" s="28"/>
    </row>
    <row r="154">
      <c r="A154" s="28"/>
      <c r="B154" s="28"/>
      <c r="C154" s="28"/>
      <c r="E154" s="28"/>
    </row>
    <row r="155">
      <c r="A155" s="28"/>
      <c r="B155" s="28"/>
      <c r="C155" s="28"/>
      <c r="E155" s="28"/>
    </row>
    <row r="156">
      <c r="A156" s="28"/>
      <c r="B156" s="28"/>
      <c r="C156" s="28"/>
      <c r="E156" s="28"/>
    </row>
    <row r="157">
      <c r="A157" s="28"/>
      <c r="B157" s="28"/>
      <c r="C157" s="28"/>
      <c r="E157" s="28"/>
    </row>
    <row r="158">
      <c r="A158" s="28"/>
      <c r="B158" s="28"/>
      <c r="C158" s="28"/>
      <c r="E158" s="28"/>
    </row>
    <row r="159">
      <c r="A159" s="28"/>
      <c r="B159" s="28"/>
      <c r="C159" s="28"/>
      <c r="E159" s="28"/>
    </row>
    <row r="160">
      <c r="A160" s="28"/>
      <c r="B160" s="28"/>
      <c r="C160" s="28"/>
      <c r="E160" s="28"/>
    </row>
    <row r="161">
      <c r="A161" s="28"/>
      <c r="B161" s="28"/>
      <c r="C161" s="28"/>
      <c r="E161" s="28"/>
    </row>
    <row r="162">
      <c r="A162" s="28"/>
      <c r="B162" s="28"/>
      <c r="C162" s="28"/>
      <c r="E162" s="28"/>
    </row>
    <row r="163">
      <c r="A163" s="28"/>
      <c r="B163" s="28"/>
      <c r="C163" s="28"/>
      <c r="E163" s="28"/>
    </row>
    <row r="164">
      <c r="A164" s="28"/>
      <c r="B164" s="28"/>
      <c r="C164" s="28"/>
      <c r="E164" s="28"/>
    </row>
    <row r="165">
      <c r="A165" s="28"/>
      <c r="B165" s="28"/>
      <c r="C165" s="28"/>
      <c r="E165" s="28"/>
    </row>
    <row r="166">
      <c r="A166" s="28"/>
      <c r="B166" s="28"/>
      <c r="C166" s="28"/>
      <c r="E166" s="28"/>
    </row>
    <row r="167">
      <c r="A167" s="28"/>
      <c r="B167" s="28"/>
      <c r="C167" s="28"/>
      <c r="E167" s="28"/>
    </row>
    <row r="168">
      <c r="A168" s="28"/>
      <c r="B168" s="28"/>
      <c r="C168" s="28"/>
      <c r="E168" s="28"/>
    </row>
    <row r="169">
      <c r="A169" s="28"/>
      <c r="B169" s="28"/>
      <c r="C169" s="28"/>
      <c r="E169" s="28"/>
    </row>
    <row r="170">
      <c r="A170" s="28"/>
      <c r="B170" s="28"/>
      <c r="C170" s="28"/>
      <c r="E170" s="28"/>
    </row>
    <row r="171">
      <c r="A171" s="28"/>
      <c r="B171" s="28"/>
      <c r="C171" s="28"/>
      <c r="E171" s="28"/>
    </row>
    <row r="172">
      <c r="A172" s="28"/>
      <c r="B172" s="28"/>
      <c r="C172" s="28"/>
      <c r="E172" s="28"/>
    </row>
    <row r="173">
      <c r="A173" s="28"/>
      <c r="B173" s="28"/>
      <c r="C173" s="28"/>
      <c r="E173" s="28"/>
    </row>
    <row r="174">
      <c r="A174" s="28"/>
      <c r="B174" s="28"/>
      <c r="C174" s="28"/>
      <c r="E174" s="28"/>
    </row>
    <row r="175">
      <c r="A175" s="28"/>
      <c r="B175" s="28"/>
      <c r="C175" s="28"/>
      <c r="E175" s="28"/>
    </row>
    <row r="176">
      <c r="A176" s="28"/>
      <c r="B176" s="28"/>
      <c r="C176" s="28"/>
      <c r="E176" s="28"/>
    </row>
    <row r="177">
      <c r="A177" s="28"/>
      <c r="B177" s="28"/>
      <c r="C177" s="28"/>
      <c r="E177" s="28"/>
    </row>
    <row r="178">
      <c r="A178" s="28"/>
      <c r="B178" s="28"/>
      <c r="C178" s="28"/>
      <c r="E178" s="28"/>
    </row>
    <row r="179">
      <c r="A179" s="28"/>
      <c r="B179" s="28"/>
      <c r="C179" s="28"/>
      <c r="E179" s="28"/>
    </row>
    <row r="180">
      <c r="A180" s="28"/>
      <c r="B180" s="28"/>
      <c r="C180" s="28"/>
      <c r="E180" s="28"/>
    </row>
    <row r="181">
      <c r="A181" s="28"/>
      <c r="B181" s="28"/>
      <c r="C181" s="28"/>
      <c r="E181" s="28"/>
    </row>
    <row r="182">
      <c r="A182" s="28"/>
      <c r="B182" s="28"/>
      <c r="C182" s="28"/>
      <c r="E182" s="28"/>
    </row>
    <row r="183">
      <c r="A183" s="28"/>
      <c r="B183" s="28"/>
      <c r="C183" s="28"/>
      <c r="E183" s="28"/>
    </row>
    <row r="184">
      <c r="A184" s="28"/>
      <c r="B184" s="28"/>
      <c r="C184" s="28"/>
      <c r="E184" s="28"/>
    </row>
    <row r="185">
      <c r="A185" s="28"/>
      <c r="B185" s="28"/>
      <c r="C185" s="28"/>
      <c r="E185" s="28"/>
    </row>
    <row r="186">
      <c r="A186" s="28"/>
      <c r="B186" s="28"/>
      <c r="C186" s="28"/>
      <c r="E186" s="28"/>
    </row>
    <row r="187">
      <c r="A187" s="28"/>
      <c r="B187" s="28"/>
      <c r="C187" s="28"/>
      <c r="E187" s="28"/>
    </row>
    <row r="188">
      <c r="A188" s="28"/>
      <c r="B188" s="28"/>
      <c r="C188" s="28"/>
      <c r="E188" s="28"/>
    </row>
    <row r="189">
      <c r="A189" s="28"/>
      <c r="B189" s="28"/>
      <c r="C189" s="28"/>
      <c r="E189" s="28"/>
    </row>
    <row r="190">
      <c r="A190" s="28"/>
      <c r="B190" s="28"/>
      <c r="C190" s="28"/>
      <c r="E190" s="28"/>
    </row>
    <row r="191">
      <c r="A191" s="28"/>
      <c r="B191" s="28"/>
      <c r="C191" s="28"/>
      <c r="E191" s="28"/>
    </row>
    <row r="192">
      <c r="A192" s="28"/>
      <c r="B192" s="28"/>
      <c r="C192" s="28"/>
      <c r="E192" s="28"/>
    </row>
    <row r="193">
      <c r="A193" s="28"/>
      <c r="B193" s="28"/>
      <c r="C193" s="28"/>
      <c r="E193" s="28"/>
    </row>
    <row r="194">
      <c r="A194" s="28"/>
      <c r="B194" s="28"/>
      <c r="C194" s="28"/>
      <c r="E194" s="28"/>
    </row>
    <row r="195">
      <c r="A195" s="28"/>
      <c r="B195" s="28"/>
      <c r="C195" s="28"/>
      <c r="E195" s="28"/>
    </row>
    <row r="196">
      <c r="A196" s="28"/>
      <c r="B196" s="28"/>
      <c r="C196" s="28"/>
      <c r="E196" s="28"/>
    </row>
    <row r="197">
      <c r="A197" s="28"/>
      <c r="B197" s="28"/>
      <c r="C197" s="28"/>
      <c r="E197" s="28"/>
    </row>
    <row r="198">
      <c r="A198" s="28"/>
      <c r="B198" s="28"/>
      <c r="C198" s="28"/>
      <c r="E198" s="28"/>
    </row>
    <row r="199">
      <c r="A199" s="28"/>
      <c r="B199" s="28"/>
      <c r="C199" s="28"/>
      <c r="E199" s="28"/>
    </row>
    <row r="200">
      <c r="A200" s="28"/>
      <c r="B200" s="28"/>
      <c r="C200" s="28"/>
      <c r="E200" s="28"/>
    </row>
    <row r="201">
      <c r="A201" s="28"/>
      <c r="B201" s="28"/>
      <c r="C201" s="28"/>
      <c r="E201" s="28"/>
    </row>
    <row r="202">
      <c r="A202" s="28"/>
      <c r="B202" s="28"/>
      <c r="C202" s="28"/>
      <c r="E202" s="28"/>
    </row>
    <row r="203">
      <c r="A203" s="28"/>
      <c r="B203" s="28"/>
      <c r="C203" s="28"/>
      <c r="E203" s="28"/>
    </row>
    <row r="204">
      <c r="A204" s="28"/>
      <c r="B204" s="28"/>
      <c r="C204" s="28"/>
      <c r="E204" s="28"/>
    </row>
    <row r="205">
      <c r="A205" s="28"/>
      <c r="B205" s="28"/>
      <c r="C205" s="28"/>
      <c r="E205" s="28"/>
    </row>
    <row r="206">
      <c r="A206" s="28"/>
      <c r="B206" s="28"/>
      <c r="C206" s="28"/>
      <c r="E206" s="28"/>
    </row>
    <row r="207">
      <c r="A207" s="28"/>
      <c r="B207" s="28"/>
      <c r="C207" s="28"/>
      <c r="E207" s="28"/>
    </row>
    <row r="208">
      <c r="A208" s="28"/>
      <c r="B208" s="28"/>
      <c r="C208" s="28"/>
      <c r="E208" s="28"/>
    </row>
    <row r="209">
      <c r="A209" s="28"/>
      <c r="B209" s="28"/>
      <c r="C209" s="28"/>
      <c r="E209" s="28"/>
    </row>
    <row r="210">
      <c r="A210" s="28"/>
      <c r="B210" s="28"/>
      <c r="C210" s="28"/>
      <c r="E210" s="28"/>
    </row>
    <row r="211">
      <c r="A211" s="28"/>
      <c r="B211" s="28"/>
      <c r="C211" s="28"/>
      <c r="E211" s="28"/>
    </row>
    <row r="212">
      <c r="A212" s="28"/>
      <c r="B212" s="28"/>
      <c r="C212" s="28"/>
      <c r="E212" s="28"/>
    </row>
    <row r="213">
      <c r="A213" s="28"/>
      <c r="B213" s="28"/>
      <c r="C213" s="28"/>
      <c r="E213" s="28"/>
    </row>
    <row r="214">
      <c r="A214" s="28"/>
      <c r="B214" s="28"/>
      <c r="C214" s="28"/>
      <c r="E214" s="28"/>
    </row>
    <row r="215">
      <c r="A215" s="28"/>
      <c r="B215" s="28"/>
      <c r="C215" s="28"/>
      <c r="E215" s="28"/>
    </row>
    <row r="216">
      <c r="A216" s="28"/>
      <c r="B216" s="28"/>
      <c r="C216" s="28"/>
      <c r="E216" s="28"/>
    </row>
    <row r="217">
      <c r="A217" s="28"/>
      <c r="B217" s="28"/>
      <c r="C217" s="28"/>
      <c r="E217" s="28"/>
    </row>
    <row r="218">
      <c r="A218" s="28"/>
      <c r="B218" s="28"/>
      <c r="C218" s="28"/>
      <c r="E218" s="28"/>
    </row>
    <row r="219">
      <c r="A219" s="28"/>
      <c r="B219" s="28"/>
      <c r="C219" s="28"/>
      <c r="E219" s="28"/>
    </row>
    <row r="220">
      <c r="A220" s="28"/>
      <c r="B220" s="28"/>
      <c r="C220" s="28"/>
      <c r="E220" s="28"/>
    </row>
    <row r="221">
      <c r="A221" s="28"/>
      <c r="B221" s="28"/>
      <c r="C221" s="28"/>
      <c r="E221" s="28"/>
    </row>
    <row r="222">
      <c r="A222" s="28"/>
      <c r="B222" s="28"/>
      <c r="C222" s="28"/>
      <c r="E222" s="28"/>
    </row>
    <row r="223">
      <c r="A223" s="28"/>
      <c r="B223" s="28"/>
      <c r="C223" s="28"/>
      <c r="E223" s="28"/>
    </row>
    <row r="224">
      <c r="A224" s="28"/>
      <c r="B224" s="28"/>
      <c r="C224" s="28"/>
      <c r="E224" s="28"/>
    </row>
    <row r="225">
      <c r="A225" s="28"/>
      <c r="B225" s="28"/>
      <c r="C225" s="28"/>
      <c r="E225" s="28"/>
    </row>
    <row r="226">
      <c r="A226" s="28"/>
      <c r="B226" s="28"/>
      <c r="C226" s="28"/>
      <c r="E226" s="28"/>
    </row>
    <row r="227">
      <c r="A227" s="28"/>
      <c r="B227" s="28"/>
      <c r="C227" s="28"/>
      <c r="E227" s="28"/>
    </row>
    <row r="228">
      <c r="A228" s="28"/>
      <c r="B228" s="28"/>
      <c r="C228" s="28"/>
      <c r="E228" s="28"/>
    </row>
    <row r="229">
      <c r="A229" s="28"/>
      <c r="B229" s="28"/>
      <c r="C229" s="28"/>
      <c r="E229" s="28"/>
    </row>
    <row r="230">
      <c r="A230" s="28"/>
      <c r="B230" s="28"/>
      <c r="C230" s="28"/>
      <c r="E230" s="28"/>
    </row>
    <row r="231">
      <c r="A231" s="28"/>
      <c r="B231" s="28"/>
      <c r="C231" s="28"/>
      <c r="E231" s="28"/>
    </row>
    <row r="232">
      <c r="A232" s="28"/>
      <c r="B232" s="28"/>
      <c r="C232" s="28"/>
      <c r="E232" s="28"/>
    </row>
    <row r="233">
      <c r="A233" s="28"/>
      <c r="B233" s="28"/>
      <c r="C233" s="28"/>
      <c r="E233" s="28"/>
    </row>
    <row r="234">
      <c r="A234" s="28"/>
      <c r="B234" s="28"/>
      <c r="C234" s="28"/>
      <c r="E234" s="28"/>
    </row>
    <row r="235">
      <c r="A235" s="28"/>
      <c r="B235" s="28"/>
      <c r="C235" s="28"/>
      <c r="E235" s="28"/>
    </row>
    <row r="236">
      <c r="A236" s="28"/>
      <c r="B236" s="28"/>
      <c r="C236" s="28"/>
      <c r="E236" s="28"/>
    </row>
    <row r="237">
      <c r="A237" s="28"/>
      <c r="B237" s="28"/>
      <c r="C237" s="28"/>
      <c r="E237" s="28"/>
    </row>
    <row r="238">
      <c r="A238" s="28"/>
      <c r="B238" s="28"/>
      <c r="C238" s="28"/>
      <c r="E238" s="28"/>
    </row>
    <row r="239">
      <c r="A239" s="28"/>
      <c r="B239" s="28"/>
      <c r="C239" s="28"/>
      <c r="E239" s="28"/>
    </row>
    <row r="240">
      <c r="A240" s="28"/>
      <c r="B240" s="28"/>
      <c r="C240" s="28"/>
      <c r="E240" s="28"/>
    </row>
    <row r="241">
      <c r="A241" s="28"/>
      <c r="B241" s="28"/>
      <c r="C241" s="28"/>
      <c r="E241" s="28"/>
    </row>
    <row r="242">
      <c r="A242" s="28"/>
      <c r="B242" s="28"/>
      <c r="C242" s="28"/>
      <c r="E242" s="28"/>
    </row>
    <row r="243">
      <c r="A243" s="28"/>
      <c r="B243" s="28"/>
      <c r="C243" s="28"/>
      <c r="E243" s="28"/>
    </row>
    <row r="244">
      <c r="A244" s="28"/>
      <c r="B244" s="28"/>
      <c r="C244" s="28"/>
      <c r="E244" s="28"/>
    </row>
    <row r="245">
      <c r="A245" s="28"/>
      <c r="B245" s="28"/>
      <c r="C245" s="28"/>
      <c r="E245" s="28"/>
    </row>
    <row r="246">
      <c r="A246" s="28"/>
      <c r="B246" s="28"/>
      <c r="C246" s="28"/>
      <c r="E246" s="28"/>
    </row>
    <row r="247">
      <c r="A247" s="28"/>
      <c r="B247" s="28"/>
      <c r="C247" s="28"/>
      <c r="E247" s="28"/>
    </row>
    <row r="248">
      <c r="A248" s="28"/>
      <c r="B248" s="28"/>
      <c r="C248" s="28"/>
      <c r="E248" s="28"/>
    </row>
    <row r="249">
      <c r="A249" s="28"/>
      <c r="B249" s="28"/>
      <c r="C249" s="28"/>
      <c r="E249" s="28"/>
    </row>
    <row r="250">
      <c r="A250" s="28"/>
      <c r="B250" s="28"/>
      <c r="C250" s="28"/>
      <c r="E250" s="28"/>
    </row>
    <row r="251">
      <c r="A251" s="28"/>
      <c r="B251" s="28"/>
      <c r="C251" s="28"/>
      <c r="E251" s="28"/>
    </row>
    <row r="252">
      <c r="A252" s="28"/>
      <c r="B252" s="28"/>
      <c r="C252" s="28"/>
      <c r="E252" s="28"/>
    </row>
    <row r="253">
      <c r="A253" s="28"/>
      <c r="B253" s="28"/>
      <c r="C253" s="28"/>
      <c r="E253" s="28"/>
    </row>
    <row r="254">
      <c r="A254" s="28"/>
      <c r="B254" s="28"/>
      <c r="C254" s="28"/>
      <c r="E254" s="28"/>
    </row>
    <row r="255">
      <c r="A255" s="28"/>
      <c r="B255" s="28"/>
      <c r="C255" s="28"/>
      <c r="E255" s="28"/>
    </row>
    <row r="256">
      <c r="A256" s="28"/>
      <c r="B256" s="28"/>
      <c r="C256" s="28"/>
      <c r="E256" s="28"/>
    </row>
    <row r="257">
      <c r="A257" s="28"/>
      <c r="B257" s="28"/>
      <c r="C257" s="28"/>
      <c r="E257" s="28"/>
    </row>
    <row r="258">
      <c r="A258" s="28"/>
      <c r="B258" s="28"/>
      <c r="C258" s="28"/>
      <c r="E258" s="28"/>
    </row>
    <row r="259">
      <c r="A259" s="28"/>
      <c r="B259" s="28"/>
      <c r="C259" s="28"/>
      <c r="E259" s="28"/>
    </row>
    <row r="260">
      <c r="A260" s="28"/>
      <c r="B260" s="28"/>
      <c r="C260" s="28"/>
      <c r="E260" s="28"/>
    </row>
    <row r="261">
      <c r="A261" s="28"/>
      <c r="B261" s="28"/>
      <c r="C261" s="28"/>
      <c r="E261" s="28"/>
    </row>
    <row r="262">
      <c r="A262" s="28"/>
      <c r="B262" s="28"/>
      <c r="C262" s="28"/>
      <c r="E262" s="28"/>
    </row>
    <row r="263">
      <c r="A263" s="28"/>
      <c r="B263" s="28"/>
      <c r="C263" s="28"/>
      <c r="E263" s="28"/>
    </row>
    <row r="264">
      <c r="A264" s="28"/>
      <c r="B264" s="28"/>
      <c r="C264" s="28"/>
      <c r="E264" s="28"/>
    </row>
    <row r="265">
      <c r="A265" s="28"/>
      <c r="B265" s="28"/>
      <c r="C265" s="28"/>
      <c r="E265" s="28"/>
    </row>
    <row r="266">
      <c r="A266" s="28"/>
      <c r="B266" s="28"/>
      <c r="C266" s="28"/>
      <c r="E266" s="28"/>
    </row>
    <row r="267">
      <c r="A267" s="28"/>
      <c r="B267" s="28"/>
      <c r="C267" s="28"/>
      <c r="E267" s="28"/>
    </row>
    <row r="268">
      <c r="A268" s="28"/>
      <c r="B268" s="28"/>
      <c r="C268" s="28"/>
      <c r="E268" s="28"/>
    </row>
    <row r="269">
      <c r="A269" s="28"/>
      <c r="B269" s="28"/>
      <c r="C269" s="28"/>
      <c r="E269" s="28"/>
    </row>
    <row r="270">
      <c r="A270" s="28"/>
      <c r="B270" s="28"/>
      <c r="C270" s="28"/>
      <c r="E270" s="28"/>
    </row>
    <row r="271">
      <c r="A271" s="28"/>
      <c r="B271" s="28"/>
      <c r="C271" s="28"/>
      <c r="E271" s="28"/>
    </row>
    <row r="272">
      <c r="A272" s="28"/>
      <c r="B272" s="28"/>
      <c r="C272" s="28"/>
      <c r="E272" s="28"/>
    </row>
    <row r="273">
      <c r="A273" s="28"/>
      <c r="B273" s="28"/>
      <c r="C273" s="28"/>
      <c r="E273" s="28"/>
    </row>
    <row r="274">
      <c r="A274" s="28"/>
      <c r="B274" s="28"/>
      <c r="C274" s="28"/>
      <c r="E274" s="28"/>
    </row>
    <row r="275">
      <c r="A275" s="28"/>
      <c r="B275" s="28"/>
      <c r="C275" s="28"/>
      <c r="E275" s="28"/>
    </row>
    <row r="276">
      <c r="A276" s="28"/>
      <c r="B276" s="28"/>
      <c r="C276" s="28"/>
      <c r="E276" s="28"/>
    </row>
    <row r="277">
      <c r="A277" s="28"/>
      <c r="B277" s="28"/>
      <c r="C277" s="28"/>
      <c r="E277" s="28"/>
    </row>
    <row r="278">
      <c r="A278" s="28"/>
      <c r="B278" s="28"/>
      <c r="C278" s="28"/>
      <c r="E278" s="28"/>
    </row>
    <row r="279">
      <c r="A279" s="28"/>
      <c r="B279" s="28"/>
      <c r="C279" s="28"/>
      <c r="E279" s="28"/>
    </row>
    <row r="280">
      <c r="A280" s="28"/>
      <c r="B280" s="28"/>
      <c r="C280" s="28"/>
      <c r="E280" s="28"/>
    </row>
    <row r="281">
      <c r="A281" s="28"/>
      <c r="B281" s="28"/>
      <c r="C281" s="28"/>
      <c r="E281" s="28"/>
    </row>
    <row r="282">
      <c r="A282" s="28"/>
      <c r="B282" s="28"/>
      <c r="C282" s="28"/>
      <c r="E282" s="28"/>
    </row>
    <row r="283">
      <c r="A283" s="28"/>
      <c r="B283" s="28"/>
      <c r="C283" s="28"/>
      <c r="E283" s="28"/>
    </row>
    <row r="284">
      <c r="A284" s="28"/>
      <c r="B284" s="28"/>
      <c r="C284" s="28"/>
      <c r="E284" s="28"/>
    </row>
    <row r="285">
      <c r="A285" s="28"/>
      <c r="B285" s="28"/>
      <c r="C285" s="28"/>
      <c r="E285" s="28"/>
    </row>
    <row r="286">
      <c r="A286" s="28"/>
      <c r="B286" s="28"/>
      <c r="C286" s="28"/>
      <c r="E286" s="28"/>
    </row>
    <row r="287">
      <c r="A287" s="28"/>
      <c r="B287" s="28"/>
      <c r="C287" s="28"/>
      <c r="E287" s="28"/>
    </row>
    <row r="288">
      <c r="A288" s="28"/>
      <c r="B288" s="28"/>
      <c r="C288" s="28"/>
      <c r="E288" s="28"/>
    </row>
    <row r="289">
      <c r="A289" s="28"/>
      <c r="B289" s="28"/>
      <c r="C289" s="28"/>
      <c r="E289" s="28"/>
    </row>
    <row r="290">
      <c r="A290" s="28"/>
      <c r="B290" s="28"/>
      <c r="C290" s="28"/>
      <c r="E290" s="28"/>
    </row>
    <row r="291">
      <c r="A291" s="28"/>
      <c r="B291" s="28"/>
      <c r="C291" s="28"/>
      <c r="E291" s="28"/>
    </row>
    <row r="292">
      <c r="A292" s="28"/>
      <c r="B292" s="28"/>
      <c r="C292" s="28"/>
      <c r="E292" s="28"/>
    </row>
    <row r="293">
      <c r="A293" s="28"/>
      <c r="B293" s="28"/>
      <c r="C293" s="28"/>
      <c r="E293" s="28"/>
    </row>
    <row r="294">
      <c r="A294" s="28"/>
      <c r="B294" s="28"/>
      <c r="C294" s="28"/>
      <c r="E294" s="28"/>
    </row>
    <row r="295">
      <c r="A295" s="28"/>
      <c r="B295" s="28"/>
      <c r="C295" s="28"/>
      <c r="E295" s="28"/>
    </row>
    <row r="296">
      <c r="A296" s="28"/>
      <c r="B296" s="28"/>
      <c r="C296" s="28"/>
      <c r="E296" s="28"/>
    </row>
    <row r="297">
      <c r="A297" s="28"/>
      <c r="B297" s="28"/>
      <c r="C297" s="28"/>
      <c r="E297" s="28"/>
    </row>
    <row r="298">
      <c r="A298" s="28"/>
      <c r="B298" s="28"/>
      <c r="C298" s="28"/>
      <c r="E298" s="28"/>
    </row>
    <row r="299">
      <c r="A299" s="28"/>
      <c r="B299" s="28"/>
      <c r="C299" s="28"/>
      <c r="E299" s="28"/>
    </row>
    <row r="300">
      <c r="A300" s="28"/>
      <c r="B300" s="28"/>
      <c r="C300" s="28"/>
      <c r="E300" s="28"/>
    </row>
    <row r="301">
      <c r="A301" s="28"/>
      <c r="B301" s="28"/>
      <c r="C301" s="28"/>
      <c r="E301" s="28"/>
    </row>
    <row r="302">
      <c r="A302" s="28"/>
      <c r="B302" s="28"/>
      <c r="C302" s="28"/>
      <c r="E302" s="28"/>
    </row>
    <row r="303">
      <c r="A303" s="28"/>
      <c r="B303" s="28"/>
      <c r="C303" s="28"/>
      <c r="E303" s="28"/>
    </row>
    <row r="304">
      <c r="A304" s="28"/>
      <c r="B304" s="28"/>
      <c r="C304" s="28"/>
      <c r="E304" s="28"/>
    </row>
    <row r="305">
      <c r="A305" s="28"/>
      <c r="B305" s="28"/>
      <c r="C305" s="28"/>
      <c r="E305" s="28"/>
    </row>
    <row r="306">
      <c r="A306" s="28"/>
      <c r="B306" s="28"/>
      <c r="C306" s="28"/>
      <c r="E306" s="28"/>
    </row>
    <row r="307">
      <c r="A307" s="28"/>
      <c r="B307" s="28"/>
      <c r="C307" s="28"/>
      <c r="E307" s="28"/>
    </row>
    <row r="308">
      <c r="A308" s="28"/>
      <c r="B308" s="28"/>
      <c r="C308" s="28"/>
      <c r="E308" s="28"/>
    </row>
    <row r="309">
      <c r="A309" s="28"/>
      <c r="B309" s="28"/>
      <c r="C309" s="28"/>
      <c r="E309" s="28"/>
    </row>
    <row r="310">
      <c r="A310" s="28"/>
      <c r="B310" s="28"/>
      <c r="C310" s="28"/>
      <c r="E310" s="28"/>
    </row>
    <row r="311">
      <c r="A311" s="28"/>
      <c r="B311" s="28"/>
      <c r="C311" s="28"/>
      <c r="E311" s="28"/>
    </row>
    <row r="312">
      <c r="A312" s="28"/>
      <c r="B312" s="28"/>
      <c r="C312" s="28"/>
      <c r="E312" s="28"/>
    </row>
    <row r="313">
      <c r="A313" s="28"/>
      <c r="B313" s="28"/>
      <c r="C313" s="28"/>
      <c r="E313" s="28"/>
    </row>
    <row r="314">
      <c r="A314" s="28"/>
      <c r="B314" s="28"/>
      <c r="C314" s="28"/>
      <c r="E314" s="28"/>
    </row>
    <row r="315">
      <c r="A315" s="28"/>
      <c r="B315" s="28"/>
      <c r="C315" s="28"/>
      <c r="E315" s="28"/>
    </row>
    <row r="316">
      <c r="A316" s="28"/>
      <c r="B316" s="28"/>
      <c r="C316" s="28"/>
      <c r="E316" s="28"/>
    </row>
    <row r="317">
      <c r="A317" s="28"/>
      <c r="B317" s="28"/>
      <c r="C317" s="28"/>
      <c r="E317" s="28"/>
    </row>
    <row r="318">
      <c r="A318" s="28"/>
      <c r="B318" s="28"/>
      <c r="C318" s="28"/>
      <c r="E318" s="28"/>
    </row>
    <row r="319">
      <c r="A319" s="28"/>
      <c r="B319" s="28"/>
      <c r="C319" s="28"/>
      <c r="E319" s="28"/>
    </row>
    <row r="320">
      <c r="A320" s="28"/>
      <c r="B320" s="28"/>
      <c r="C320" s="28"/>
      <c r="E320" s="28"/>
    </row>
    <row r="321">
      <c r="A321" s="28"/>
      <c r="B321" s="28"/>
      <c r="C321" s="28"/>
      <c r="E321" s="28"/>
    </row>
    <row r="322">
      <c r="A322" s="28"/>
      <c r="B322" s="28"/>
      <c r="C322" s="28"/>
      <c r="E322" s="28"/>
    </row>
    <row r="323">
      <c r="A323" s="28"/>
      <c r="B323" s="28"/>
      <c r="C323" s="28"/>
      <c r="E323" s="28"/>
    </row>
    <row r="324">
      <c r="A324" s="28"/>
      <c r="B324" s="28"/>
      <c r="C324" s="28"/>
      <c r="E324" s="28"/>
    </row>
    <row r="325">
      <c r="A325" s="28"/>
      <c r="B325" s="28"/>
      <c r="C325" s="28"/>
      <c r="E325" s="28"/>
    </row>
    <row r="326">
      <c r="A326" s="28"/>
      <c r="B326" s="28"/>
      <c r="C326" s="28"/>
      <c r="E326" s="28"/>
    </row>
    <row r="327">
      <c r="A327" s="28"/>
      <c r="B327" s="28"/>
      <c r="C327" s="28"/>
      <c r="E327" s="28"/>
    </row>
    <row r="328">
      <c r="A328" s="28"/>
      <c r="B328" s="28"/>
      <c r="C328" s="28"/>
      <c r="E328" s="28"/>
    </row>
    <row r="329">
      <c r="A329" s="28"/>
      <c r="B329" s="28"/>
      <c r="C329" s="28"/>
      <c r="E329" s="28"/>
    </row>
    <row r="330">
      <c r="A330" s="28"/>
      <c r="B330" s="28"/>
      <c r="C330" s="28"/>
      <c r="E330" s="28"/>
    </row>
    <row r="331">
      <c r="A331" s="28"/>
      <c r="B331" s="28"/>
      <c r="C331" s="28"/>
      <c r="E331" s="28"/>
    </row>
    <row r="332">
      <c r="A332" s="28"/>
      <c r="B332" s="28"/>
      <c r="C332" s="28"/>
      <c r="E332" s="28"/>
    </row>
    <row r="333">
      <c r="A333" s="28"/>
      <c r="B333" s="28"/>
      <c r="C333" s="28"/>
      <c r="E333" s="28"/>
    </row>
    <row r="334">
      <c r="A334" s="28"/>
      <c r="B334" s="28"/>
      <c r="C334" s="28"/>
      <c r="E334" s="28"/>
    </row>
    <row r="335">
      <c r="A335" s="28"/>
      <c r="B335" s="28"/>
      <c r="C335" s="28"/>
      <c r="E335" s="28"/>
    </row>
    <row r="336">
      <c r="A336" s="28"/>
      <c r="B336" s="28"/>
      <c r="C336" s="28"/>
      <c r="E336" s="28"/>
    </row>
    <row r="337">
      <c r="A337" s="28"/>
      <c r="B337" s="28"/>
      <c r="C337" s="28"/>
      <c r="E337" s="28"/>
    </row>
    <row r="338">
      <c r="A338" s="28"/>
      <c r="B338" s="28"/>
      <c r="C338" s="28"/>
      <c r="E338" s="28"/>
    </row>
    <row r="339">
      <c r="A339" s="28"/>
      <c r="B339" s="28"/>
      <c r="C339" s="28"/>
      <c r="E339" s="28"/>
    </row>
    <row r="340">
      <c r="A340" s="28"/>
      <c r="B340" s="28"/>
      <c r="C340" s="28"/>
      <c r="E340" s="28"/>
    </row>
    <row r="341">
      <c r="A341" s="28"/>
      <c r="B341" s="28"/>
      <c r="C341" s="28"/>
      <c r="E341" s="28"/>
    </row>
    <row r="342">
      <c r="A342" s="28"/>
      <c r="B342" s="28"/>
      <c r="C342" s="28"/>
      <c r="E342" s="28"/>
    </row>
    <row r="343">
      <c r="A343" s="28"/>
      <c r="B343" s="28"/>
      <c r="C343" s="28"/>
      <c r="E343" s="28"/>
    </row>
    <row r="344">
      <c r="A344" s="28"/>
      <c r="B344" s="28"/>
      <c r="C344" s="28"/>
      <c r="E344" s="28"/>
    </row>
    <row r="345">
      <c r="A345" s="28"/>
      <c r="B345" s="28"/>
      <c r="C345" s="28"/>
      <c r="E345" s="28"/>
    </row>
    <row r="346">
      <c r="A346" s="28"/>
      <c r="B346" s="28"/>
      <c r="C346" s="28"/>
      <c r="E346" s="28"/>
    </row>
    <row r="347">
      <c r="A347" s="28"/>
      <c r="B347" s="28"/>
      <c r="C347" s="28"/>
      <c r="E347" s="28"/>
    </row>
    <row r="348">
      <c r="A348" s="28"/>
      <c r="B348" s="28"/>
      <c r="C348" s="28"/>
      <c r="E348" s="28"/>
    </row>
    <row r="349">
      <c r="A349" s="28"/>
      <c r="B349" s="28"/>
      <c r="C349" s="28"/>
      <c r="E349" s="28"/>
    </row>
    <row r="350">
      <c r="A350" s="28"/>
      <c r="B350" s="28"/>
      <c r="C350" s="28"/>
      <c r="E350" s="28"/>
    </row>
    <row r="351">
      <c r="A351" s="28"/>
      <c r="B351" s="28"/>
      <c r="C351" s="28"/>
      <c r="E351" s="28"/>
    </row>
    <row r="352">
      <c r="A352" s="28"/>
      <c r="B352" s="28"/>
      <c r="C352" s="28"/>
      <c r="E352" s="28"/>
    </row>
    <row r="353">
      <c r="A353" s="28"/>
      <c r="B353" s="28"/>
      <c r="C353" s="28"/>
      <c r="E353" s="28"/>
    </row>
    <row r="354">
      <c r="A354" s="28"/>
      <c r="B354" s="28"/>
      <c r="C354" s="28"/>
      <c r="E354" s="28"/>
    </row>
    <row r="355">
      <c r="A355" s="28"/>
      <c r="B355" s="28"/>
      <c r="C355" s="28"/>
      <c r="E355" s="28"/>
    </row>
    <row r="356">
      <c r="A356" s="28"/>
      <c r="B356" s="28"/>
      <c r="C356" s="28"/>
      <c r="E356" s="28"/>
    </row>
    <row r="357">
      <c r="A357" s="28"/>
      <c r="B357" s="28"/>
      <c r="C357" s="28"/>
      <c r="E357" s="28"/>
    </row>
    <row r="358">
      <c r="A358" s="28"/>
      <c r="B358" s="28"/>
      <c r="C358" s="28"/>
      <c r="E358" s="28"/>
    </row>
    <row r="359">
      <c r="A359" s="28"/>
      <c r="B359" s="28"/>
      <c r="C359" s="28"/>
      <c r="E359" s="28"/>
    </row>
    <row r="360">
      <c r="A360" s="28"/>
      <c r="B360" s="28"/>
      <c r="C360" s="28"/>
      <c r="E360" s="28"/>
    </row>
    <row r="361">
      <c r="A361" s="28"/>
      <c r="B361" s="28"/>
      <c r="C361" s="28"/>
      <c r="E361" s="28"/>
    </row>
    <row r="362">
      <c r="A362" s="28"/>
      <c r="B362" s="28"/>
      <c r="C362" s="28"/>
      <c r="E362" s="28"/>
    </row>
    <row r="363">
      <c r="A363" s="28"/>
      <c r="B363" s="28"/>
      <c r="C363" s="28"/>
      <c r="E363" s="28"/>
    </row>
    <row r="364">
      <c r="A364" s="28"/>
      <c r="B364" s="28"/>
      <c r="C364" s="28"/>
      <c r="E364" s="28"/>
    </row>
    <row r="365">
      <c r="A365" s="28"/>
      <c r="B365" s="28"/>
      <c r="C365" s="28"/>
      <c r="E365" s="28"/>
    </row>
    <row r="366">
      <c r="A366" s="28"/>
      <c r="B366" s="28"/>
      <c r="C366" s="28"/>
      <c r="E366" s="28"/>
    </row>
    <row r="367">
      <c r="A367" s="28"/>
      <c r="B367" s="28"/>
      <c r="C367" s="28"/>
      <c r="E367" s="28"/>
    </row>
    <row r="368">
      <c r="A368" s="28"/>
      <c r="B368" s="28"/>
      <c r="C368" s="28"/>
      <c r="E368" s="28"/>
    </row>
    <row r="369">
      <c r="A369" s="28"/>
      <c r="B369" s="28"/>
      <c r="C369" s="28"/>
      <c r="E369" s="28"/>
    </row>
    <row r="370">
      <c r="A370" s="28"/>
      <c r="B370" s="28"/>
      <c r="C370" s="28"/>
      <c r="E370" s="28"/>
    </row>
    <row r="371">
      <c r="A371" s="28"/>
      <c r="B371" s="28"/>
      <c r="C371" s="28"/>
      <c r="E371" s="28"/>
    </row>
    <row r="372">
      <c r="A372" s="28"/>
      <c r="B372" s="28"/>
      <c r="C372" s="28"/>
      <c r="E372" s="28"/>
    </row>
    <row r="373">
      <c r="A373" s="28"/>
      <c r="B373" s="28"/>
      <c r="C373" s="28"/>
      <c r="E373" s="28"/>
    </row>
    <row r="374">
      <c r="A374" s="28"/>
      <c r="B374" s="28"/>
      <c r="C374" s="28"/>
      <c r="E374" s="28"/>
    </row>
    <row r="375">
      <c r="A375" s="28"/>
      <c r="B375" s="28"/>
      <c r="C375" s="28"/>
      <c r="E375" s="28"/>
    </row>
    <row r="376">
      <c r="A376" s="28"/>
      <c r="B376" s="28"/>
      <c r="C376" s="28"/>
      <c r="E376" s="28"/>
    </row>
    <row r="377">
      <c r="A377" s="28"/>
      <c r="B377" s="28"/>
      <c r="C377" s="28"/>
      <c r="E377" s="28"/>
    </row>
    <row r="378">
      <c r="A378" s="28"/>
      <c r="B378" s="28"/>
      <c r="C378" s="28"/>
      <c r="E378" s="28"/>
    </row>
    <row r="379">
      <c r="A379" s="28"/>
      <c r="B379" s="28"/>
      <c r="C379" s="28"/>
      <c r="E379" s="28"/>
    </row>
    <row r="380">
      <c r="A380" s="28"/>
      <c r="B380" s="28"/>
      <c r="C380" s="28"/>
      <c r="E380" s="28"/>
    </row>
    <row r="381">
      <c r="A381" s="28"/>
      <c r="B381" s="28"/>
      <c r="C381" s="28"/>
      <c r="E381" s="28"/>
    </row>
    <row r="382">
      <c r="A382" s="28"/>
      <c r="B382" s="28"/>
      <c r="C382" s="28"/>
      <c r="E382" s="28"/>
    </row>
    <row r="383">
      <c r="A383" s="28"/>
      <c r="B383" s="28"/>
      <c r="C383" s="28"/>
      <c r="E383" s="28"/>
    </row>
    <row r="384">
      <c r="A384" s="28"/>
      <c r="B384" s="28"/>
      <c r="C384" s="28"/>
      <c r="E384" s="28"/>
    </row>
    <row r="385">
      <c r="A385" s="28"/>
      <c r="B385" s="28"/>
      <c r="C385" s="28"/>
      <c r="E385" s="28"/>
    </row>
    <row r="386">
      <c r="A386" s="28"/>
      <c r="B386" s="28"/>
      <c r="C386" s="28"/>
      <c r="E386" s="28"/>
    </row>
    <row r="387">
      <c r="A387" s="28"/>
      <c r="B387" s="28"/>
      <c r="C387" s="28"/>
      <c r="E387" s="28"/>
    </row>
    <row r="388">
      <c r="A388" s="28"/>
      <c r="B388" s="28"/>
      <c r="C388" s="28"/>
      <c r="E388" s="28"/>
    </row>
    <row r="389">
      <c r="A389" s="28"/>
      <c r="B389" s="28"/>
      <c r="C389" s="28"/>
      <c r="E389" s="28"/>
    </row>
    <row r="390">
      <c r="A390" s="28"/>
      <c r="B390" s="28"/>
      <c r="C390" s="28"/>
      <c r="E390" s="28"/>
    </row>
    <row r="391">
      <c r="A391" s="28"/>
      <c r="B391" s="28"/>
      <c r="C391" s="28"/>
      <c r="E391" s="28"/>
    </row>
    <row r="392">
      <c r="A392" s="28"/>
      <c r="B392" s="28"/>
      <c r="C392" s="28"/>
      <c r="E392" s="28"/>
    </row>
    <row r="393">
      <c r="A393" s="28"/>
      <c r="B393" s="28"/>
      <c r="C393" s="28"/>
      <c r="E393" s="28"/>
    </row>
    <row r="394">
      <c r="A394" s="28"/>
      <c r="B394" s="28"/>
      <c r="C394" s="28"/>
      <c r="E394" s="28"/>
    </row>
    <row r="395">
      <c r="A395" s="28"/>
      <c r="B395" s="28"/>
      <c r="C395" s="28"/>
      <c r="E395" s="28"/>
    </row>
    <row r="396">
      <c r="A396" s="28"/>
      <c r="B396" s="28"/>
      <c r="C396" s="28"/>
      <c r="E396" s="28"/>
    </row>
    <row r="397">
      <c r="A397" s="28"/>
      <c r="B397" s="28"/>
      <c r="C397" s="28"/>
      <c r="E397" s="28"/>
    </row>
    <row r="398">
      <c r="A398" s="28"/>
      <c r="B398" s="28"/>
      <c r="C398" s="28"/>
      <c r="E398" s="28"/>
    </row>
    <row r="399">
      <c r="A399" s="28"/>
      <c r="B399" s="28"/>
      <c r="C399" s="28"/>
      <c r="E399" s="28"/>
    </row>
    <row r="400">
      <c r="A400" s="28"/>
      <c r="B400" s="28"/>
      <c r="C400" s="28"/>
      <c r="E400" s="28"/>
    </row>
    <row r="401">
      <c r="A401" s="28"/>
      <c r="B401" s="28"/>
      <c r="C401" s="28"/>
      <c r="E401" s="28"/>
    </row>
    <row r="402">
      <c r="A402" s="28"/>
      <c r="B402" s="28"/>
      <c r="C402" s="28"/>
      <c r="E402" s="28"/>
    </row>
    <row r="403">
      <c r="A403" s="28"/>
      <c r="B403" s="28"/>
      <c r="C403" s="28"/>
      <c r="E403" s="28"/>
    </row>
    <row r="404">
      <c r="A404" s="28"/>
      <c r="B404" s="28"/>
      <c r="C404" s="28"/>
      <c r="E404" s="28"/>
    </row>
    <row r="405">
      <c r="A405" s="28"/>
      <c r="B405" s="28"/>
      <c r="C405" s="28"/>
      <c r="E405" s="28"/>
    </row>
    <row r="406">
      <c r="A406" s="28"/>
      <c r="B406" s="28"/>
      <c r="C406" s="28"/>
      <c r="E406" s="28"/>
    </row>
    <row r="407">
      <c r="A407" s="28"/>
      <c r="B407" s="28"/>
      <c r="C407" s="28"/>
      <c r="E407" s="28"/>
    </row>
    <row r="408">
      <c r="A408" s="28"/>
      <c r="B408" s="28"/>
      <c r="C408" s="28"/>
      <c r="E408" s="28"/>
    </row>
    <row r="409">
      <c r="A409" s="28"/>
      <c r="B409" s="28"/>
      <c r="C409" s="28"/>
      <c r="E409" s="28"/>
    </row>
    <row r="410">
      <c r="A410" s="28"/>
      <c r="B410" s="28"/>
      <c r="C410" s="28"/>
      <c r="E410" s="28"/>
    </row>
    <row r="411">
      <c r="A411" s="28"/>
      <c r="B411" s="28"/>
      <c r="C411" s="28"/>
      <c r="E411" s="28"/>
    </row>
    <row r="412">
      <c r="A412" s="28"/>
      <c r="B412" s="28"/>
      <c r="C412" s="28"/>
      <c r="E412" s="28"/>
    </row>
    <row r="413">
      <c r="A413" s="28"/>
      <c r="B413" s="28"/>
      <c r="C413" s="28"/>
      <c r="E413" s="28"/>
    </row>
    <row r="414">
      <c r="A414" s="28"/>
      <c r="B414" s="28"/>
      <c r="C414" s="28"/>
      <c r="E414" s="28"/>
    </row>
    <row r="415">
      <c r="A415" s="28"/>
      <c r="B415" s="28"/>
      <c r="C415" s="28"/>
      <c r="E415" s="28"/>
    </row>
    <row r="416">
      <c r="A416" s="28"/>
      <c r="B416" s="28"/>
      <c r="C416" s="28"/>
      <c r="E416" s="28"/>
    </row>
    <row r="417">
      <c r="A417" s="28"/>
      <c r="B417" s="28"/>
      <c r="C417" s="28"/>
      <c r="E417" s="28"/>
    </row>
    <row r="418">
      <c r="A418" s="28"/>
      <c r="B418" s="28"/>
      <c r="C418" s="28"/>
      <c r="E418" s="28"/>
    </row>
    <row r="419">
      <c r="A419" s="28"/>
      <c r="B419" s="28"/>
      <c r="C419" s="28"/>
      <c r="E419" s="28"/>
    </row>
    <row r="420">
      <c r="A420" s="28"/>
      <c r="B420" s="28"/>
      <c r="C420" s="28"/>
      <c r="E420" s="28"/>
    </row>
    <row r="421">
      <c r="A421" s="28"/>
      <c r="B421" s="28"/>
      <c r="C421" s="28"/>
      <c r="E421" s="28"/>
    </row>
    <row r="422">
      <c r="A422" s="28"/>
      <c r="B422" s="28"/>
      <c r="C422" s="28"/>
      <c r="E422" s="28"/>
    </row>
    <row r="423">
      <c r="A423" s="28"/>
      <c r="B423" s="28"/>
      <c r="C423" s="28"/>
      <c r="E423" s="28"/>
    </row>
    <row r="424">
      <c r="A424" s="28"/>
      <c r="B424" s="28"/>
      <c r="C424" s="28"/>
      <c r="E424" s="28"/>
    </row>
    <row r="425">
      <c r="A425" s="28"/>
      <c r="B425" s="28"/>
      <c r="C425" s="28"/>
      <c r="E425" s="28"/>
    </row>
    <row r="426">
      <c r="A426" s="28"/>
      <c r="B426" s="28"/>
      <c r="C426" s="28"/>
      <c r="E426" s="28"/>
    </row>
    <row r="427">
      <c r="A427" s="28"/>
      <c r="B427" s="28"/>
      <c r="C427" s="28"/>
      <c r="E427" s="28"/>
    </row>
    <row r="428">
      <c r="A428" s="28"/>
      <c r="B428" s="28"/>
      <c r="C428" s="28"/>
      <c r="E428" s="28"/>
    </row>
    <row r="429">
      <c r="A429" s="28"/>
      <c r="B429" s="28"/>
      <c r="C429" s="28"/>
      <c r="E429" s="28"/>
    </row>
    <row r="430">
      <c r="A430" s="28"/>
      <c r="B430" s="28"/>
      <c r="C430" s="28"/>
      <c r="E430" s="28"/>
    </row>
    <row r="431">
      <c r="A431" s="28"/>
      <c r="B431" s="28"/>
      <c r="C431" s="28"/>
      <c r="E431" s="28"/>
    </row>
    <row r="432">
      <c r="A432" s="28"/>
      <c r="B432" s="28"/>
      <c r="C432" s="28"/>
      <c r="E432" s="28"/>
    </row>
    <row r="433">
      <c r="A433" s="28"/>
      <c r="B433" s="28"/>
      <c r="C433" s="28"/>
      <c r="E433" s="28"/>
    </row>
    <row r="434">
      <c r="A434" s="28"/>
      <c r="B434" s="28"/>
      <c r="C434" s="28"/>
      <c r="E434" s="28"/>
    </row>
    <row r="435">
      <c r="A435" s="28"/>
      <c r="B435" s="28"/>
      <c r="C435" s="28"/>
      <c r="E435" s="28"/>
    </row>
    <row r="436">
      <c r="A436" s="28"/>
      <c r="B436" s="28"/>
      <c r="C436" s="28"/>
      <c r="E436" s="28"/>
    </row>
    <row r="437">
      <c r="A437" s="28"/>
      <c r="B437" s="28"/>
      <c r="C437" s="28"/>
      <c r="E437" s="28"/>
    </row>
    <row r="438">
      <c r="A438" s="28"/>
      <c r="B438" s="28"/>
      <c r="C438" s="28"/>
      <c r="E438" s="28"/>
    </row>
    <row r="439">
      <c r="A439" s="28"/>
      <c r="B439" s="28"/>
      <c r="C439" s="28"/>
      <c r="E439" s="28"/>
    </row>
    <row r="440">
      <c r="A440" s="28"/>
      <c r="B440" s="28"/>
      <c r="C440" s="28"/>
      <c r="E440" s="28"/>
    </row>
    <row r="441">
      <c r="A441" s="28"/>
      <c r="B441" s="28"/>
      <c r="C441" s="28"/>
      <c r="E441" s="28"/>
    </row>
    <row r="442">
      <c r="A442" s="28"/>
      <c r="B442" s="28"/>
      <c r="C442" s="28"/>
      <c r="E442" s="28"/>
    </row>
    <row r="443">
      <c r="A443" s="28"/>
      <c r="B443" s="28"/>
      <c r="C443" s="28"/>
      <c r="E443" s="28"/>
    </row>
    <row r="444">
      <c r="A444" s="28"/>
      <c r="B444" s="28"/>
      <c r="C444" s="28"/>
      <c r="E444" s="28"/>
    </row>
    <row r="445">
      <c r="A445" s="28"/>
      <c r="B445" s="28"/>
      <c r="C445" s="28"/>
      <c r="E445" s="28"/>
    </row>
    <row r="446">
      <c r="A446" s="28"/>
      <c r="B446" s="28"/>
      <c r="C446" s="28"/>
      <c r="E446" s="28"/>
    </row>
    <row r="447">
      <c r="A447" s="28"/>
      <c r="B447" s="28"/>
      <c r="C447" s="28"/>
      <c r="E447" s="28"/>
    </row>
    <row r="448">
      <c r="A448" s="28"/>
      <c r="B448" s="28"/>
      <c r="C448" s="28"/>
      <c r="E448" s="28"/>
    </row>
    <row r="449">
      <c r="A449" s="28"/>
      <c r="B449" s="28"/>
      <c r="C449" s="28"/>
      <c r="E449" s="28"/>
    </row>
    <row r="450">
      <c r="A450" s="28"/>
      <c r="B450" s="28"/>
      <c r="C450" s="28"/>
      <c r="E450" s="28"/>
    </row>
    <row r="451">
      <c r="A451" s="28"/>
      <c r="B451" s="28"/>
      <c r="C451" s="28"/>
      <c r="E451" s="28"/>
    </row>
    <row r="452">
      <c r="A452" s="28"/>
      <c r="B452" s="28"/>
      <c r="C452" s="28"/>
      <c r="E452" s="28"/>
    </row>
    <row r="453">
      <c r="A453" s="28"/>
      <c r="B453" s="28"/>
      <c r="C453" s="28"/>
      <c r="E453" s="28"/>
    </row>
    <row r="454">
      <c r="A454" s="28"/>
      <c r="B454" s="28"/>
      <c r="C454" s="28"/>
      <c r="E454" s="28"/>
    </row>
    <row r="455">
      <c r="A455" s="28"/>
      <c r="B455" s="28"/>
      <c r="C455" s="28"/>
      <c r="E455" s="28"/>
    </row>
    <row r="456">
      <c r="A456" s="28"/>
      <c r="B456" s="28"/>
      <c r="C456" s="28"/>
      <c r="E456" s="28"/>
    </row>
    <row r="457">
      <c r="A457" s="28"/>
      <c r="B457" s="28"/>
      <c r="C457" s="28"/>
      <c r="E457" s="28"/>
    </row>
    <row r="458">
      <c r="A458" s="28"/>
      <c r="B458" s="28"/>
      <c r="C458" s="28"/>
      <c r="E458" s="28"/>
    </row>
    <row r="459">
      <c r="A459" s="28"/>
      <c r="B459" s="28"/>
      <c r="C459" s="28"/>
      <c r="E459" s="28"/>
    </row>
    <row r="460">
      <c r="A460" s="28"/>
      <c r="B460" s="28"/>
      <c r="C460" s="28"/>
      <c r="E460" s="28"/>
    </row>
    <row r="461">
      <c r="A461" s="28"/>
      <c r="B461" s="28"/>
      <c r="C461" s="28"/>
      <c r="E461" s="28"/>
    </row>
    <row r="462">
      <c r="A462" s="28"/>
      <c r="B462" s="28"/>
      <c r="C462" s="28"/>
      <c r="E462" s="28"/>
    </row>
    <row r="463">
      <c r="A463" s="28"/>
      <c r="B463" s="28"/>
      <c r="C463" s="28"/>
      <c r="E463" s="28"/>
    </row>
    <row r="464">
      <c r="A464" s="28"/>
      <c r="B464" s="28"/>
      <c r="C464" s="28"/>
      <c r="E464" s="28"/>
    </row>
    <row r="465">
      <c r="A465" s="28"/>
      <c r="B465" s="28"/>
      <c r="C465" s="28"/>
      <c r="E465" s="28"/>
    </row>
    <row r="466">
      <c r="A466" s="28"/>
      <c r="B466" s="28"/>
      <c r="C466" s="28"/>
      <c r="E466" s="28"/>
    </row>
    <row r="467">
      <c r="A467" s="28"/>
      <c r="B467" s="28"/>
      <c r="C467" s="28"/>
      <c r="E467" s="28"/>
    </row>
    <row r="468">
      <c r="A468" s="28"/>
      <c r="B468" s="28"/>
      <c r="C468" s="28"/>
      <c r="E468" s="28"/>
    </row>
    <row r="469">
      <c r="A469" s="28"/>
      <c r="B469" s="28"/>
      <c r="C469" s="28"/>
      <c r="E469" s="28"/>
    </row>
    <row r="470">
      <c r="A470" s="28"/>
      <c r="B470" s="28"/>
      <c r="C470" s="28"/>
      <c r="E470" s="28"/>
    </row>
    <row r="471">
      <c r="A471" s="28"/>
      <c r="B471" s="28"/>
      <c r="C471" s="28"/>
      <c r="E471" s="28"/>
    </row>
    <row r="472">
      <c r="A472" s="28"/>
      <c r="B472" s="28"/>
      <c r="C472" s="28"/>
      <c r="E472" s="28"/>
    </row>
    <row r="473">
      <c r="A473" s="28"/>
      <c r="B473" s="28"/>
      <c r="C473" s="28"/>
      <c r="E473" s="28"/>
    </row>
    <row r="474">
      <c r="A474" s="28"/>
      <c r="B474" s="28"/>
      <c r="C474" s="28"/>
      <c r="E474" s="28"/>
    </row>
    <row r="475">
      <c r="A475" s="28"/>
      <c r="B475" s="28"/>
      <c r="C475" s="28"/>
      <c r="E475" s="28"/>
    </row>
    <row r="476">
      <c r="A476" s="28"/>
      <c r="B476" s="28"/>
      <c r="C476" s="28"/>
      <c r="E476" s="28"/>
    </row>
    <row r="477">
      <c r="A477" s="28"/>
      <c r="B477" s="28"/>
      <c r="C477" s="28"/>
      <c r="E477" s="28"/>
    </row>
    <row r="478">
      <c r="A478" s="28"/>
      <c r="B478" s="28"/>
      <c r="C478" s="28"/>
      <c r="E478" s="28"/>
    </row>
    <row r="479">
      <c r="A479" s="28"/>
      <c r="B479" s="28"/>
      <c r="C479" s="28"/>
      <c r="E479" s="28"/>
    </row>
    <row r="480">
      <c r="A480" s="28"/>
      <c r="B480" s="28"/>
      <c r="C480" s="28"/>
      <c r="E480" s="28"/>
    </row>
    <row r="481">
      <c r="A481" s="28"/>
      <c r="B481" s="28"/>
      <c r="C481" s="28"/>
      <c r="E481" s="28"/>
    </row>
    <row r="482">
      <c r="A482" s="28"/>
      <c r="B482" s="28"/>
      <c r="C482" s="28"/>
      <c r="E482" s="28"/>
    </row>
    <row r="483">
      <c r="A483" s="28"/>
      <c r="B483" s="28"/>
      <c r="C483" s="28"/>
      <c r="E483" s="28"/>
    </row>
    <row r="484">
      <c r="A484" s="28"/>
      <c r="B484" s="28"/>
      <c r="C484" s="28"/>
      <c r="E484" s="28"/>
    </row>
    <row r="485">
      <c r="A485" s="28"/>
      <c r="B485" s="28"/>
      <c r="C485" s="28"/>
      <c r="E485" s="28"/>
    </row>
    <row r="486">
      <c r="A486" s="28"/>
      <c r="B486" s="28"/>
      <c r="C486" s="28"/>
      <c r="E486" s="28"/>
    </row>
    <row r="487">
      <c r="A487" s="28"/>
      <c r="B487" s="28"/>
      <c r="C487" s="28"/>
      <c r="E487" s="28"/>
    </row>
    <row r="488">
      <c r="A488" s="28"/>
      <c r="B488" s="28"/>
      <c r="C488" s="28"/>
      <c r="E488" s="28"/>
    </row>
    <row r="489">
      <c r="A489" s="28"/>
      <c r="B489" s="28"/>
      <c r="C489" s="28"/>
      <c r="E489" s="28"/>
    </row>
    <row r="490">
      <c r="A490" s="28"/>
      <c r="B490" s="28"/>
      <c r="C490" s="28"/>
      <c r="E490" s="28"/>
    </row>
    <row r="491">
      <c r="A491" s="28"/>
      <c r="B491" s="28"/>
      <c r="C491" s="28"/>
      <c r="E491" s="28"/>
    </row>
    <row r="492">
      <c r="A492" s="28"/>
      <c r="B492" s="28"/>
      <c r="C492" s="28"/>
      <c r="E492" s="28"/>
    </row>
    <row r="493">
      <c r="A493" s="28"/>
      <c r="B493" s="28"/>
      <c r="C493" s="28"/>
      <c r="E493" s="28"/>
    </row>
    <row r="494">
      <c r="A494" s="28"/>
      <c r="B494" s="28"/>
      <c r="C494" s="28"/>
      <c r="E494" s="28"/>
    </row>
    <row r="495">
      <c r="A495" s="28"/>
      <c r="B495" s="28"/>
      <c r="C495" s="28"/>
      <c r="E495" s="28"/>
    </row>
    <row r="496">
      <c r="A496" s="28"/>
      <c r="B496" s="28"/>
      <c r="C496" s="28"/>
      <c r="E496" s="28"/>
    </row>
    <row r="497">
      <c r="A497" s="28"/>
      <c r="B497" s="28"/>
      <c r="C497" s="28"/>
      <c r="E497" s="28"/>
    </row>
    <row r="498">
      <c r="A498" s="28"/>
      <c r="B498" s="28"/>
      <c r="C498" s="28"/>
      <c r="E498" s="28"/>
    </row>
    <row r="499">
      <c r="A499" s="28"/>
      <c r="B499" s="28"/>
      <c r="C499" s="28"/>
      <c r="E499" s="28"/>
    </row>
    <row r="500">
      <c r="A500" s="28"/>
      <c r="B500" s="28"/>
      <c r="C500" s="28"/>
      <c r="E500" s="28"/>
    </row>
    <row r="501">
      <c r="A501" s="28"/>
      <c r="B501" s="28"/>
      <c r="C501" s="28"/>
      <c r="E501" s="28"/>
    </row>
    <row r="502">
      <c r="A502" s="28"/>
      <c r="B502" s="28"/>
      <c r="C502" s="28"/>
      <c r="E502" s="28"/>
    </row>
    <row r="503">
      <c r="A503" s="28"/>
      <c r="B503" s="28"/>
      <c r="C503" s="28"/>
      <c r="E503" s="28"/>
    </row>
    <row r="504">
      <c r="A504" s="28"/>
      <c r="B504" s="28"/>
      <c r="C504" s="28"/>
      <c r="E504" s="28"/>
    </row>
    <row r="505">
      <c r="A505" s="28"/>
      <c r="B505" s="28"/>
      <c r="C505" s="28"/>
      <c r="E505" s="28"/>
    </row>
    <row r="506">
      <c r="A506" s="28"/>
      <c r="B506" s="28"/>
      <c r="C506" s="28"/>
      <c r="E506" s="28"/>
    </row>
    <row r="507">
      <c r="A507" s="28"/>
      <c r="B507" s="28"/>
      <c r="C507" s="28"/>
      <c r="E507" s="28"/>
    </row>
    <row r="508">
      <c r="A508" s="28"/>
      <c r="B508" s="28"/>
      <c r="C508" s="28"/>
      <c r="E508" s="28"/>
    </row>
    <row r="509">
      <c r="A509" s="28"/>
      <c r="B509" s="28"/>
      <c r="C509" s="28"/>
      <c r="E509" s="28"/>
    </row>
    <row r="510">
      <c r="A510" s="28"/>
      <c r="B510" s="28"/>
      <c r="C510" s="28"/>
      <c r="E510" s="28"/>
    </row>
    <row r="511">
      <c r="A511" s="28"/>
      <c r="B511" s="28"/>
      <c r="C511" s="28"/>
      <c r="E511" s="28"/>
    </row>
    <row r="512">
      <c r="A512" s="28"/>
      <c r="B512" s="28"/>
      <c r="C512" s="28"/>
      <c r="E512" s="28"/>
    </row>
    <row r="513">
      <c r="A513" s="28"/>
      <c r="B513" s="28"/>
      <c r="C513" s="28"/>
      <c r="E513" s="28"/>
    </row>
    <row r="514">
      <c r="A514" s="28"/>
      <c r="B514" s="28"/>
      <c r="C514" s="28"/>
      <c r="E514" s="28"/>
    </row>
    <row r="515">
      <c r="A515" s="28"/>
      <c r="B515" s="28"/>
      <c r="C515" s="28"/>
      <c r="E515" s="28"/>
    </row>
    <row r="516">
      <c r="A516" s="28"/>
      <c r="B516" s="28"/>
      <c r="C516" s="28"/>
      <c r="E516" s="28"/>
    </row>
    <row r="517">
      <c r="A517" s="28"/>
      <c r="B517" s="28"/>
      <c r="C517" s="28"/>
      <c r="E517" s="28"/>
    </row>
    <row r="518">
      <c r="A518" s="28"/>
      <c r="B518" s="28"/>
      <c r="C518" s="28"/>
      <c r="E518" s="28"/>
    </row>
    <row r="519">
      <c r="A519" s="28"/>
      <c r="B519" s="28"/>
      <c r="C519" s="28"/>
      <c r="E519" s="28"/>
    </row>
    <row r="520">
      <c r="A520" s="28"/>
      <c r="B520" s="28"/>
      <c r="C520" s="28"/>
      <c r="E520" s="28"/>
    </row>
    <row r="521">
      <c r="A521" s="28"/>
      <c r="B521" s="28"/>
      <c r="C521" s="28"/>
      <c r="E521" s="28"/>
    </row>
    <row r="522">
      <c r="A522" s="28"/>
      <c r="B522" s="28"/>
      <c r="C522" s="28"/>
      <c r="E522" s="28"/>
    </row>
    <row r="523">
      <c r="A523" s="28"/>
      <c r="B523" s="28"/>
      <c r="C523" s="28"/>
      <c r="E523" s="28"/>
    </row>
    <row r="524">
      <c r="A524" s="28"/>
      <c r="B524" s="28"/>
      <c r="C524" s="28"/>
      <c r="E524" s="28"/>
    </row>
    <row r="525">
      <c r="A525" s="28"/>
      <c r="B525" s="28"/>
      <c r="C525" s="28"/>
      <c r="E525" s="28"/>
    </row>
    <row r="526">
      <c r="A526" s="28"/>
      <c r="B526" s="28"/>
      <c r="C526" s="28"/>
      <c r="E526" s="28"/>
    </row>
    <row r="527">
      <c r="A527" s="28"/>
      <c r="B527" s="28"/>
      <c r="C527" s="28"/>
      <c r="E527" s="28"/>
    </row>
    <row r="528">
      <c r="A528" s="28"/>
      <c r="B528" s="28"/>
      <c r="C528" s="28"/>
      <c r="E528" s="28"/>
    </row>
    <row r="529">
      <c r="A529" s="28"/>
      <c r="B529" s="28"/>
      <c r="C529" s="28"/>
      <c r="E529" s="28"/>
    </row>
    <row r="530">
      <c r="A530" s="28"/>
      <c r="B530" s="28"/>
      <c r="C530" s="28"/>
      <c r="E530" s="28"/>
    </row>
    <row r="531">
      <c r="A531" s="28"/>
      <c r="B531" s="28"/>
      <c r="C531" s="28"/>
      <c r="E531" s="28"/>
    </row>
    <row r="532">
      <c r="A532" s="28"/>
      <c r="B532" s="28"/>
      <c r="C532" s="28"/>
      <c r="E532" s="28"/>
    </row>
    <row r="533">
      <c r="A533" s="28"/>
      <c r="B533" s="28"/>
      <c r="C533" s="28"/>
      <c r="E533" s="28"/>
    </row>
    <row r="534">
      <c r="A534" s="28"/>
      <c r="B534" s="28"/>
      <c r="C534" s="28"/>
      <c r="E534" s="28"/>
    </row>
    <row r="535">
      <c r="A535" s="28"/>
      <c r="B535" s="28"/>
      <c r="C535" s="28"/>
      <c r="E535" s="28"/>
    </row>
    <row r="536">
      <c r="A536" s="28"/>
      <c r="B536" s="28"/>
      <c r="C536" s="28"/>
      <c r="E536" s="28"/>
    </row>
    <row r="537">
      <c r="A537" s="28"/>
      <c r="B537" s="28"/>
      <c r="C537" s="28"/>
      <c r="E537" s="28"/>
    </row>
    <row r="538">
      <c r="A538" s="28"/>
      <c r="B538" s="28"/>
      <c r="C538" s="28"/>
      <c r="E538" s="28"/>
    </row>
    <row r="539">
      <c r="A539" s="28"/>
      <c r="B539" s="28"/>
      <c r="C539" s="28"/>
      <c r="E539" s="28"/>
    </row>
    <row r="540">
      <c r="A540" s="28"/>
      <c r="B540" s="28"/>
      <c r="C540" s="28"/>
      <c r="E540" s="28"/>
    </row>
    <row r="541">
      <c r="A541" s="28"/>
      <c r="B541" s="28"/>
      <c r="C541" s="28"/>
      <c r="E541" s="28"/>
    </row>
    <row r="542">
      <c r="A542" s="28"/>
      <c r="B542" s="28"/>
      <c r="C542" s="28"/>
      <c r="E542" s="28"/>
    </row>
    <row r="543">
      <c r="A543" s="28"/>
      <c r="B543" s="28"/>
      <c r="C543" s="28"/>
      <c r="E543" s="28"/>
    </row>
    <row r="544">
      <c r="A544" s="28"/>
      <c r="B544" s="28"/>
      <c r="C544" s="28"/>
      <c r="E544" s="28"/>
    </row>
    <row r="545">
      <c r="A545" s="28"/>
      <c r="B545" s="28"/>
      <c r="C545" s="28"/>
      <c r="E545" s="28"/>
    </row>
    <row r="546">
      <c r="A546" s="28"/>
      <c r="B546" s="28"/>
      <c r="C546" s="28"/>
      <c r="E546" s="28"/>
    </row>
    <row r="547">
      <c r="A547" s="28"/>
      <c r="B547" s="28"/>
      <c r="C547" s="28"/>
      <c r="E547" s="28"/>
    </row>
    <row r="548">
      <c r="A548" s="28"/>
      <c r="B548" s="28"/>
      <c r="C548" s="28"/>
      <c r="E548" s="28"/>
    </row>
    <row r="549">
      <c r="A549" s="28"/>
      <c r="B549" s="28"/>
      <c r="C549" s="28"/>
      <c r="E549" s="28"/>
    </row>
    <row r="550">
      <c r="A550" s="28"/>
      <c r="B550" s="28"/>
      <c r="C550" s="28"/>
      <c r="E550" s="28"/>
    </row>
    <row r="551">
      <c r="A551" s="28"/>
      <c r="B551" s="28"/>
      <c r="C551" s="28"/>
      <c r="E551" s="28"/>
    </row>
    <row r="552">
      <c r="A552" s="28"/>
      <c r="B552" s="28"/>
      <c r="C552" s="28"/>
      <c r="E552" s="28"/>
    </row>
    <row r="553">
      <c r="A553" s="28"/>
      <c r="B553" s="28"/>
      <c r="C553" s="28"/>
      <c r="E553" s="28"/>
    </row>
    <row r="554">
      <c r="A554" s="28"/>
      <c r="B554" s="28"/>
      <c r="C554" s="28"/>
      <c r="E554" s="28"/>
    </row>
    <row r="555">
      <c r="A555" s="28"/>
      <c r="B555" s="28"/>
      <c r="C555" s="28"/>
      <c r="E555" s="28"/>
    </row>
    <row r="556">
      <c r="A556" s="28"/>
      <c r="B556" s="28"/>
      <c r="C556" s="28"/>
      <c r="E556" s="28"/>
    </row>
    <row r="557">
      <c r="A557" s="28"/>
      <c r="B557" s="28"/>
      <c r="C557" s="28"/>
      <c r="E557" s="28"/>
    </row>
    <row r="558">
      <c r="A558" s="28"/>
      <c r="B558" s="28"/>
      <c r="C558" s="28"/>
      <c r="E558" s="28"/>
    </row>
    <row r="559">
      <c r="A559" s="28"/>
      <c r="B559" s="28"/>
      <c r="C559" s="28"/>
      <c r="E559" s="28"/>
    </row>
    <row r="560">
      <c r="A560" s="28"/>
      <c r="B560" s="28"/>
      <c r="C560" s="28"/>
      <c r="E560" s="28"/>
    </row>
    <row r="561">
      <c r="A561" s="28"/>
      <c r="B561" s="28"/>
      <c r="C561" s="28"/>
      <c r="E561" s="28"/>
    </row>
    <row r="562">
      <c r="A562" s="28"/>
      <c r="B562" s="28"/>
      <c r="C562" s="28"/>
      <c r="E562" s="28"/>
    </row>
    <row r="563">
      <c r="A563" s="28"/>
      <c r="B563" s="28"/>
      <c r="C563" s="28"/>
      <c r="E563" s="28"/>
    </row>
    <row r="564">
      <c r="A564" s="28"/>
      <c r="B564" s="28"/>
      <c r="C564" s="28"/>
      <c r="E564" s="28"/>
    </row>
    <row r="565">
      <c r="A565" s="28"/>
      <c r="B565" s="28"/>
      <c r="C565" s="28"/>
      <c r="E565" s="28"/>
    </row>
    <row r="566">
      <c r="A566" s="28"/>
      <c r="B566" s="28"/>
      <c r="C566" s="28"/>
      <c r="E566" s="28"/>
    </row>
    <row r="567">
      <c r="A567" s="28"/>
      <c r="B567" s="28"/>
      <c r="C567" s="28"/>
      <c r="E567" s="28"/>
    </row>
    <row r="568">
      <c r="A568" s="28"/>
      <c r="B568" s="28"/>
      <c r="C568" s="28"/>
      <c r="E568" s="28"/>
    </row>
    <row r="569">
      <c r="A569" s="28"/>
      <c r="B569" s="28"/>
      <c r="C569" s="28"/>
      <c r="E569" s="28"/>
    </row>
    <row r="570">
      <c r="A570" s="28"/>
      <c r="B570" s="28"/>
      <c r="C570" s="28"/>
      <c r="E570" s="28"/>
    </row>
    <row r="571">
      <c r="A571" s="28"/>
      <c r="B571" s="28"/>
      <c r="C571" s="28"/>
      <c r="E571" s="28"/>
    </row>
    <row r="572">
      <c r="A572" s="28"/>
      <c r="B572" s="28"/>
      <c r="C572" s="28"/>
      <c r="E572" s="28"/>
    </row>
    <row r="573">
      <c r="A573" s="28"/>
      <c r="B573" s="28"/>
      <c r="C573" s="28"/>
      <c r="E573" s="28"/>
    </row>
    <row r="574">
      <c r="A574" s="28"/>
      <c r="B574" s="28"/>
      <c r="C574" s="28"/>
      <c r="E574" s="28"/>
    </row>
    <row r="575">
      <c r="A575" s="28"/>
      <c r="B575" s="28"/>
      <c r="C575" s="28"/>
      <c r="E575" s="28"/>
    </row>
    <row r="576">
      <c r="A576" s="28"/>
      <c r="B576" s="28"/>
      <c r="C576" s="28"/>
      <c r="E576" s="28"/>
    </row>
    <row r="577">
      <c r="A577" s="28"/>
      <c r="B577" s="28"/>
      <c r="C577" s="28"/>
      <c r="E577" s="28"/>
    </row>
    <row r="578">
      <c r="A578" s="28"/>
      <c r="B578" s="28"/>
      <c r="C578" s="28"/>
      <c r="E578" s="28"/>
    </row>
    <row r="579">
      <c r="A579" s="28"/>
      <c r="B579" s="28"/>
      <c r="C579" s="28"/>
      <c r="E579" s="28"/>
    </row>
    <row r="580">
      <c r="A580" s="28"/>
      <c r="B580" s="28"/>
      <c r="C580" s="28"/>
      <c r="E580" s="28"/>
    </row>
    <row r="581">
      <c r="A581" s="28"/>
      <c r="B581" s="28"/>
      <c r="C581" s="28"/>
      <c r="E581" s="28"/>
    </row>
    <row r="582">
      <c r="A582" s="28"/>
      <c r="B582" s="28"/>
      <c r="C582" s="28"/>
      <c r="E582" s="28"/>
    </row>
    <row r="583">
      <c r="A583" s="28"/>
      <c r="B583" s="28"/>
      <c r="C583" s="28"/>
      <c r="E583" s="28"/>
    </row>
    <row r="584">
      <c r="A584" s="28"/>
      <c r="B584" s="28"/>
      <c r="C584" s="28"/>
      <c r="E584" s="28"/>
    </row>
    <row r="585">
      <c r="A585" s="28"/>
      <c r="B585" s="28"/>
      <c r="C585" s="28"/>
      <c r="E585" s="28"/>
    </row>
    <row r="586">
      <c r="A586" s="28"/>
      <c r="B586" s="28"/>
      <c r="C586" s="28"/>
      <c r="E586" s="28"/>
    </row>
    <row r="587">
      <c r="A587" s="28"/>
      <c r="B587" s="28"/>
      <c r="C587" s="28"/>
      <c r="E587" s="28"/>
    </row>
    <row r="588">
      <c r="A588" s="28"/>
      <c r="B588" s="28"/>
      <c r="C588" s="28"/>
      <c r="E588" s="28"/>
    </row>
    <row r="589">
      <c r="A589" s="28"/>
      <c r="B589" s="28"/>
      <c r="C589" s="28"/>
      <c r="E589" s="28"/>
    </row>
    <row r="590">
      <c r="A590" s="28"/>
      <c r="B590" s="28"/>
      <c r="C590" s="28"/>
      <c r="E590" s="28"/>
    </row>
    <row r="591">
      <c r="A591" s="28"/>
      <c r="B591" s="28"/>
      <c r="C591" s="28"/>
      <c r="E591" s="28"/>
    </row>
    <row r="592">
      <c r="A592" s="28"/>
      <c r="B592" s="28"/>
      <c r="C592" s="28"/>
      <c r="E592" s="28"/>
    </row>
    <row r="593">
      <c r="A593" s="28"/>
      <c r="B593" s="28"/>
      <c r="C593" s="28"/>
      <c r="E593" s="28"/>
    </row>
    <row r="594">
      <c r="A594" s="28"/>
      <c r="B594" s="28"/>
      <c r="C594" s="28"/>
      <c r="E594" s="28"/>
    </row>
    <row r="595">
      <c r="A595" s="28"/>
      <c r="B595" s="28"/>
      <c r="C595" s="28"/>
      <c r="E595" s="28"/>
    </row>
    <row r="596">
      <c r="A596" s="28"/>
      <c r="B596" s="28"/>
      <c r="C596" s="28"/>
      <c r="E596" s="28"/>
    </row>
    <row r="597">
      <c r="A597" s="28"/>
      <c r="B597" s="28"/>
      <c r="C597" s="28"/>
      <c r="E597" s="28"/>
    </row>
    <row r="598">
      <c r="A598" s="28"/>
      <c r="B598" s="28"/>
      <c r="C598" s="28"/>
      <c r="E598" s="28"/>
    </row>
    <row r="599">
      <c r="A599" s="28"/>
      <c r="B599" s="28"/>
      <c r="C599" s="28"/>
      <c r="E599" s="28"/>
    </row>
    <row r="600">
      <c r="A600" s="28"/>
      <c r="B600" s="28"/>
      <c r="C600" s="28"/>
      <c r="E600" s="28"/>
    </row>
    <row r="601">
      <c r="A601" s="28"/>
      <c r="B601" s="28"/>
      <c r="C601" s="28"/>
      <c r="E601" s="28"/>
    </row>
    <row r="602">
      <c r="A602" s="28"/>
      <c r="B602" s="28"/>
      <c r="C602" s="28"/>
      <c r="E602" s="28"/>
    </row>
    <row r="603">
      <c r="A603" s="28"/>
      <c r="B603" s="28"/>
      <c r="C603" s="28"/>
      <c r="E603" s="28"/>
    </row>
    <row r="604">
      <c r="A604" s="28"/>
      <c r="B604" s="28"/>
      <c r="C604" s="28"/>
      <c r="E604" s="28"/>
    </row>
    <row r="605">
      <c r="A605" s="28"/>
      <c r="B605" s="28"/>
      <c r="C605" s="28"/>
      <c r="E605" s="28"/>
    </row>
    <row r="606">
      <c r="A606" s="28"/>
      <c r="B606" s="28"/>
      <c r="C606" s="28"/>
      <c r="E606" s="28"/>
    </row>
    <row r="607">
      <c r="A607" s="28"/>
      <c r="B607" s="28"/>
      <c r="C607" s="28"/>
      <c r="E607" s="28"/>
    </row>
    <row r="608">
      <c r="A608" s="28"/>
      <c r="B608" s="28"/>
      <c r="C608" s="28"/>
      <c r="E608" s="28"/>
    </row>
    <row r="609">
      <c r="A609" s="28"/>
      <c r="B609" s="28"/>
      <c r="C609" s="28"/>
      <c r="E609" s="28"/>
    </row>
    <row r="610">
      <c r="A610" s="28"/>
      <c r="B610" s="28"/>
      <c r="C610" s="28"/>
      <c r="E610" s="28"/>
    </row>
    <row r="611">
      <c r="A611" s="28"/>
      <c r="B611" s="28"/>
      <c r="C611" s="28"/>
      <c r="E611" s="28"/>
    </row>
    <row r="612">
      <c r="A612" s="28"/>
      <c r="B612" s="28"/>
      <c r="C612" s="28"/>
      <c r="E612" s="28"/>
    </row>
    <row r="613">
      <c r="A613" s="28"/>
      <c r="B613" s="28"/>
      <c r="C613" s="28"/>
      <c r="E613" s="28"/>
    </row>
    <row r="614">
      <c r="A614" s="28"/>
      <c r="B614" s="28"/>
      <c r="C614" s="28"/>
      <c r="E614" s="28"/>
    </row>
    <row r="615">
      <c r="A615" s="28"/>
      <c r="B615" s="28"/>
      <c r="C615" s="28"/>
      <c r="E615" s="28"/>
    </row>
    <row r="616">
      <c r="A616" s="28"/>
      <c r="B616" s="28"/>
      <c r="C616" s="28"/>
      <c r="E616" s="28"/>
    </row>
    <row r="617">
      <c r="A617" s="28"/>
      <c r="B617" s="28"/>
      <c r="C617" s="28"/>
      <c r="E617" s="28"/>
    </row>
    <row r="618">
      <c r="A618" s="28"/>
      <c r="B618" s="28"/>
      <c r="C618" s="28"/>
      <c r="E618" s="28"/>
    </row>
    <row r="619">
      <c r="A619" s="28"/>
      <c r="B619" s="28"/>
      <c r="C619" s="28"/>
      <c r="E619" s="28"/>
    </row>
    <row r="620">
      <c r="A620" s="28"/>
      <c r="B620" s="28"/>
      <c r="C620" s="28"/>
      <c r="E620" s="28"/>
    </row>
    <row r="621">
      <c r="A621" s="28"/>
      <c r="B621" s="28"/>
      <c r="C621" s="28"/>
      <c r="E621" s="28"/>
    </row>
    <row r="622">
      <c r="A622" s="28"/>
      <c r="B622" s="28"/>
      <c r="C622" s="28"/>
      <c r="E622" s="28"/>
    </row>
    <row r="623">
      <c r="A623" s="28"/>
      <c r="B623" s="28"/>
      <c r="C623" s="28"/>
      <c r="E623" s="28"/>
    </row>
    <row r="624">
      <c r="A624" s="28"/>
      <c r="B624" s="28"/>
      <c r="C624" s="28"/>
      <c r="E624" s="28"/>
    </row>
    <row r="625">
      <c r="A625" s="28"/>
      <c r="B625" s="28"/>
      <c r="C625" s="28"/>
      <c r="E625" s="28"/>
    </row>
    <row r="626">
      <c r="A626" s="28"/>
      <c r="B626" s="28"/>
      <c r="C626" s="28"/>
      <c r="E626" s="28"/>
    </row>
    <row r="627">
      <c r="A627" s="28"/>
      <c r="B627" s="28"/>
      <c r="C627" s="28"/>
      <c r="E627" s="28"/>
    </row>
    <row r="628">
      <c r="A628" s="28"/>
      <c r="B628" s="28"/>
      <c r="C628" s="28"/>
      <c r="E628" s="28"/>
    </row>
    <row r="629">
      <c r="A629" s="28"/>
      <c r="B629" s="28"/>
      <c r="C629" s="28"/>
      <c r="E629" s="28"/>
    </row>
    <row r="630">
      <c r="A630" s="28"/>
      <c r="B630" s="28"/>
      <c r="C630" s="28"/>
      <c r="E630" s="28"/>
    </row>
    <row r="631">
      <c r="A631" s="28"/>
      <c r="B631" s="28"/>
      <c r="C631" s="28"/>
      <c r="E631" s="28"/>
    </row>
    <row r="632">
      <c r="A632" s="28"/>
      <c r="B632" s="28"/>
      <c r="C632" s="28"/>
      <c r="E632" s="28"/>
    </row>
    <row r="633">
      <c r="A633" s="28"/>
      <c r="B633" s="28"/>
      <c r="C633" s="28"/>
      <c r="E633" s="28"/>
    </row>
    <row r="634">
      <c r="A634" s="28"/>
      <c r="B634" s="28"/>
      <c r="C634" s="28"/>
      <c r="E634" s="28"/>
    </row>
    <row r="635">
      <c r="A635" s="28"/>
      <c r="B635" s="28"/>
      <c r="C635" s="28"/>
      <c r="E635" s="28"/>
    </row>
    <row r="636">
      <c r="A636" s="28"/>
      <c r="B636" s="28"/>
      <c r="C636" s="28"/>
      <c r="E636" s="28"/>
    </row>
    <row r="637">
      <c r="A637" s="28"/>
      <c r="B637" s="28"/>
      <c r="C637" s="28"/>
      <c r="E637" s="28"/>
    </row>
    <row r="638">
      <c r="A638" s="28"/>
      <c r="B638" s="28"/>
      <c r="C638" s="28"/>
      <c r="E638" s="28"/>
    </row>
    <row r="639">
      <c r="A639" s="28"/>
      <c r="B639" s="28"/>
      <c r="C639" s="28"/>
      <c r="E639" s="28"/>
    </row>
    <row r="640">
      <c r="A640" s="28"/>
      <c r="B640" s="28"/>
      <c r="C640" s="28"/>
      <c r="E640" s="28"/>
    </row>
    <row r="641">
      <c r="A641" s="28"/>
      <c r="B641" s="28"/>
      <c r="C641" s="28"/>
      <c r="E641" s="28"/>
    </row>
    <row r="642">
      <c r="A642" s="28"/>
      <c r="B642" s="28"/>
      <c r="C642" s="28"/>
      <c r="E642" s="28"/>
    </row>
    <row r="643">
      <c r="A643" s="28"/>
      <c r="B643" s="28"/>
      <c r="C643" s="28"/>
      <c r="E643" s="28"/>
    </row>
    <row r="644">
      <c r="A644" s="28"/>
      <c r="B644" s="28"/>
      <c r="C644" s="28"/>
      <c r="E644" s="28"/>
    </row>
    <row r="645">
      <c r="A645" s="28"/>
      <c r="B645" s="28"/>
      <c r="C645" s="28"/>
      <c r="E645" s="28"/>
    </row>
    <row r="646">
      <c r="A646" s="28"/>
      <c r="B646" s="28"/>
      <c r="C646" s="28"/>
      <c r="E646" s="28"/>
    </row>
    <row r="647">
      <c r="A647" s="28"/>
      <c r="B647" s="28"/>
      <c r="C647" s="28"/>
      <c r="E647" s="28"/>
    </row>
    <row r="648">
      <c r="A648" s="28"/>
      <c r="B648" s="28"/>
      <c r="C648" s="28"/>
      <c r="E648" s="28"/>
    </row>
    <row r="649">
      <c r="A649" s="28"/>
      <c r="B649" s="28"/>
      <c r="C649" s="28"/>
      <c r="E649" s="28"/>
    </row>
    <row r="650">
      <c r="A650" s="28"/>
      <c r="B650" s="28"/>
      <c r="C650" s="28"/>
      <c r="E650" s="28"/>
    </row>
    <row r="651">
      <c r="A651" s="28"/>
      <c r="B651" s="28"/>
      <c r="C651" s="28"/>
      <c r="E651" s="28"/>
    </row>
    <row r="652">
      <c r="A652" s="28"/>
      <c r="B652" s="28"/>
      <c r="C652" s="28"/>
      <c r="E652" s="28"/>
    </row>
    <row r="653">
      <c r="A653" s="28"/>
      <c r="B653" s="28"/>
      <c r="C653" s="28"/>
      <c r="E653" s="28"/>
    </row>
    <row r="654">
      <c r="A654" s="28"/>
      <c r="B654" s="28"/>
      <c r="C654" s="28"/>
      <c r="E654" s="28"/>
    </row>
    <row r="655">
      <c r="A655" s="28"/>
      <c r="B655" s="28"/>
      <c r="C655" s="28"/>
      <c r="E655" s="28"/>
    </row>
    <row r="656">
      <c r="A656" s="28"/>
      <c r="B656" s="28"/>
      <c r="C656" s="28"/>
      <c r="E656" s="28"/>
    </row>
    <row r="657">
      <c r="A657" s="28"/>
      <c r="B657" s="28"/>
      <c r="C657" s="28"/>
      <c r="E657" s="28"/>
    </row>
    <row r="658">
      <c r="A658" s="28"/>
      <c r="B658" s="28"/>
      <c r="C658" s="28"/>
      <c r="E658" s="28"/>
    </row>
    <row r="659">
      <c r="A659" s="28"/>
      <c r="B659" s="28"/>
      <c r="C659" s="28"/>
      <c r="E659" s="28"/>
    </row>
    <row r="660">
      <c r="A660" s="28"/>
      <c r="B660" s="28"/>
      <c r="C660" s="28"/>
      <c r="E660" s="28"/>
    </row>
    <row r="661">
      <c r="A661" s="28"/>
      <c r="B661" s="28"/>
      <c r="C661" s="28"/>
      <c r="E661" s="28"/>
    </row>
    <row r="662">
      <c r="A662" s="28"/>
      <c r="B662" s="28"/>
      <c r="C662" s="28"/>
      <c r="E662" s="28"/>
    </row>
    <row r="663">
      <c r="A663" s="28"/>
      <c r="B663" s="28"/>
      <c r="C663" s="28"/>
      <c r="E663" s="28"/>
    </row>
    <row r="664">
      <c r="A664" s="28"/>
      <c r="B664" s="28"/>
      <c r="C664" s="28"/>
      <c r="E664" s="28"/>
    </row>
    <row r="665">
      <c r="A665" s="28"/>
      <c r="B665" s="28"/>
      <c r="C665" s="28"/>
      <c r="E665" s="28"/>
    </row>
    <row r="666">
      <c r="A666" s="28"/>
      <c r="B666" s="28"/>
      <c r="C666" s="28"/>
      <c r="E666" s="28"/>
    </row>
    <row r="667">
      <c r="A667" s="28"/>
      <c r="B667" s="28"/>
      <c r="C667" s="28"/>
      <c r="E667" s="28"/>
    </row>
    <row r="668">
      <c r="A668" s="28"/>
      <c r="B668" s="28"/>
      <c r="C668" s="28"/>
      <c r="E668" s="28"/>
    </row>
    <row r="669">
      <c r="A669" s="28"/>
      <c r="B669" s="28"/>
      <c r="C669" s="28"/>
      <c r="E669" s="28"/>
    </row>
    <row r="670">
      <c r="A670" s="28"/>
      <c r="B670" s="28"/>
      <c r="C670" s="28"/>
      <c r="E670" s="28"/>
    </row>
    <row r="671">
      <c r="A671" s="28"/>
      <c r="B671" s="28"/>
      <c r="C671" s="28"/>
      <c r="E671" s="28"/>
    </row>
    <row r="672">
      <c r="A672" s="28"/>
      <c r="B672" s="28"/>
      <c r="C672" s="28"/>
      <c r="E672" s="28"/>
    </row>
    <row r="673">
      <c r="A673" s="28"/>
      <c r="B673" s="28"/>
      <c r="C673" s="28"/>
      <c r="E673" s="28"/>
    </row>
    <row r="674">
      <c r="A674" s="28"/>
      <c r="B674" s="28"/>
      <c r="C674" s="28"/>
      <c r="E674" s="28"/>
    </row>
    <row r="675">
      <c r="A675" s="28"/>
      <c r="B675" s="28"/>
      <c r="C675" s="28"/>
      <c r="E675" s="28"/>
    </row>
    <row r="676">
      <c r="A676" s="28"/>
      <c r="B676" s="28"/>
      <c r="C676" s="28"/>
      <c r="E676" s="28"/>
    </row>
    <row r="677">
      <c r="A677" s="28"/>
      <c r="B677" s="28"/>
      <c r="C677" s="28"/>
      <c r="E677" s="28"/>
    </row>
    <row r="678">
      <c r="A678" s="28"/>
      <c r="B678" s="28"/>
      <c r="C678" s="28"/>
      <c r="E678" s="28"/>
    </row>
    <row r="679">
      <c r="A679" s="28"/>
      <c r="B679" s="28"/>
      <c r="C679" s="28"/>
      <c r="E679" s="28"/>
    </row>
    <row r="680">
      <c r="A680" s="28"/>
      <c r="B680" s="28"/>
      <c r="C680" s="28"/>
      <c r="E680" s="28"/>
    </row>
    <row r="681">
      <c r="A681" s="28"/>
      <c r="B681" s="28"/>
      <c r="C681" s="28"/>
      <c r="E681" s="28"/>
    </row>
    <row r="682">
      <c r="A682" s="28"/>
      <c r="B682" s="28"/>
      <c r="C682" s="28"/>
      <c r="E682" s="28"/>
    </row>
    <row r="683">
      <c r="A683" s="28"/>
      <c r="B683" s="28"/>
      <c r="C683" s="28"/>
      <c r="E683" s="28"/>
    </row>
    <row r="684">
      <c r="A684" s="28"/>
      <c r="B684" s="28"/>
      <c r="C684" s="28"/>
      <c r="E684" s="28"/>
    </row>
    <row r="685">
      <c r="A685" s="28"/>
      <c r="B685" s="28"/>
      <c r="C685" s="28"/>
      <c r="E685" s="28"/>
    </row>
    <row r="686">
      <c r="A686" s="28"/>
      <c r="B686" s="28"/>
      <c r="C686" s="28"/>
      <c r="E686" s="28"/>
    </row>
    <row r="687">
      <c r="A687" s="28"/>
      <c r="B687" s="28"/>
      <c r="C687" s="28"/>
      <c r="E687" s="28"/>
    </row>
    <row r="688">
      <c r="A688" s="28"/>
      <c r="B688" s="28"/>
      <c r="C688" s="28"/>
      <c r="E688" s="28"/>
    </row>
    <row r="689">
      <c r="A689" s="28"/>
      <c r="B689" s="28"/>
      <c r="C689" s="28"/>
      <c r="E689" s="28"/>
    </row>
    <row r="690">
      <c r="A690" s="28"/>
      <c r="B690" s="28"/>
      <c r="C690" s="28"/>
      <c r="E690" s="28"/>
    </row>
    <row r="691">
      <c r="A691" s="28"/>
      <c r="B691" s="28"/>
      <c r="C691" s="28"/>
      <c r="E691" s="28"/>
    </row>
    <row r="692">
      <c r="A692" s="28"/>
      <c r="B692" s="28"/>
      <c r="C692" s="28"/>
      <c r="E692" s="28"/>
    </row>
    <row r="693">
      <c r="A693" s="28"/>
      <c r="B693" s="28"/>
      <c r="C693" s="28"/>
      <c r="E693" s="28"/>
    </row>
    <row r="694">
      <c r="A694" s="28"/>
      <c r="B694" s="28"/>
      <c r="C694" s="28"/>
      <c r="E694" s="28"/>
    </row>
    <row r="695">
      <c r="A695" s="28"/>
      <c r="B695" s="28"/>
      <c r="C695" s="28"/>
      <c r="E695" s="28"/>
    </row>
    <row r="696">
      <c r="A696" s="28"/>
      <c r="B696" s="28"/>
      <c r="C696" s="28"/>
      <c r="E696" s="28"/>
    </row>
    <row r="697">
      <c r="A697" s="28"/>
      <c r="B697" s="28"/>
      <c r="C697" s="28"/>
      <c r="E697" s="28"/>
    </row>
    <row r="698">
      <c r="A698" s="28"/>
      <c r="B698" s="28"/>
      <c r="C698" s="28"/>
      <c r="E698" s="28"/>
    </row>
    <row r="699">
      <c r="A699" s="28"/>
      <c r="B699" s="28"/>
      <c r="C699" s="28"/>
      <c r="E699" s="28"/>
    </row>
    <row r="700">
      <c r="A700" s="28"/>
      <c r="B700" s="28"/>
      <c r="C700" s="28"/>
      <c r="E700" s="28"/>
    </row>
    <row r="701">
      <c r="A701" s="28"/>
      <c r="B701" s="28"/>
      <c r="C701" s="28"/>
      <c r="E701" s="28"/>
    </row>
    <row r="702">
      <c r="A702" s="28"/>
      <c r="B702" s="28"/>
      <c r="C702" s="28"/>
      <c r="E702" s="28"/>
    </row>
    <row r="703">
      <c r="A703" s="28"/>
      <c r="B703" s="28"/>
      <c r="C703" s="28"/>
      <c r="E703" s="28"/>
    </row>
    <row r="704">
      <c r="A704" s="28"/>
      <c r="B704" s="28"/>
      <c r="C704" s="28"/>
      <c r="E704" s="28"/>
    </row>
    <row r="705">
      <c r="A705" s="28"/>
      <c r="B705" s="28"/>
      <c r="C705" s="28"/>
      <c r="E705" s="28"/>
    </row>
    <row r="706">
      <c r="A706" s="28"/>
      <c r="B706" s="28"/>
      <c r="C706" s="28"/>
      <c r="E706" s="28"/>
    </row>
    <row r="707">
      <c r="A707" s="28"/>
      <c r="B707" s="28"/>
      <c r="C707" s="28"/>
      <c r="E707" s="28"/>
    </row>
    <row r="708">
      <c r="A708" s="28"/>
      <c r="B708" s="28"/>
      <c r="C708" s="28"/>
      <c r="E708" s="28"/>
    </row>
    <row r="709">
      <c r="A709" s="28"/>
      <c r="B709" s="28"/>
      <c r="C709" s="28"/>
      <c r="E709" s="28"/>
    </row>
    <row r="710">
      <c r="A710" s="28"/>
      <c r="B710" s="28"/>
      <c r="C710" s="28"/>
      <c r="E710" s="28"/>
    </row>
    <row r="711">
      <c r="A711" s="28"/>
      <c r="B711" s="28"/>
      <c r="C711" s="28"/>
      <c r="E711" s="28"/>
    </row>
    <row r="712">
      <c r="A712" s="28"/>
      <c r="B712" s="28"/>
      <c r="C712" s="28"/>
      <c r="E712" s="28"/>
    </row>
    <row r="713">
      <c r="A713" s="28"/>
      <c r="B713" s="28"/>
      <c r="C713" s="28"/>
      <c r="E713" s="28"/>
    </row>
    <row r="714">
      <c r="A714" s="28"/>
      <c r="B714" s="28"/>
      <c r="C714" s="28"/>
      <c r="E714" s="28"/>
    </row>
    <row r="715">
      <c r="A715" s="28"/>
      <c r="B715" s="28"/>
      <c r="C715" s="28"/>
      <c r="E715" s="28"/>
    </row>
    <row r="716">
      <c r="A716" s="28"/>
      <c r="B716" s="28"/>
      <c r="C716" s="28"/>
      <c r="E716" s="28"/>
    </row>
    <row r="717">
      <c r="A717" s="28"/>
      <c r="B717" s="28"/>
      <c r="C717" s="28"/>
      <c r="E717" s="28"/>
    </row>
    <row r="718">
      <c r="A718" s="28"/>
      <c r="B718" s="28"/>
      <c r="C718" s="28"/>
      <c r="E718" s="28"/>
    </row>
    <row r="719">
      <c r="A719" s="28"/>
      <c r="B719" s="28"/>
      <c r="C719" s="28"/>
      <c r="E719" s="28"/>
    </row>
    <row r="720">
      <c r="A720" s="28"/>
      <c r="B720" s="28"/>
      <c r="C720" s="28"/>
      <c r="E720" s="28"/>
    </row>
    <row r="721">
      <c r="A721" s="28"/>
      <c r="B721" s="28"/>
      <c r="C721" s="28"/>
      <c r="E721" s="28"/>
    </row>
    <row r="722">
      <c r="A722" s="28"/>
      <c r="B722" s="28"/>
      <c r="C722" s="28"/>
      <c r="E722" s="28"/>
    </row>
    <row r="723">
      <c r="A723" s="28"/>
      <c r="B723" s="28"/>
      <c r="C723" s="28"/>
      <c r="E723" s="28"/>
    </row>
    <row r="724">
      <c r="A724" s="28"/>
      <c r="B724" s="28"/>
      <c r="C724" s="28"/>
      <c r="E724" s="28"/>
    </row>
    <row r="725">
      <c r="A725" s="28"/>
      <c r="B725" s="28"/>
      <c r="C725" s="28"/>
      <c r="E725" s="28"/>
    </row>
    <row r="726">
      <c r="A726" s="28"/>
      <c r="B726" s="28"/>
      <c r="C726" s="28"/>
      <c r="E726" s="28"/>
    </row>
    <row r="727">
      <c r="A727" s="28"/>
      <c r="B727" s="28"/>
      <c r="C727" s="28"/>
      <c r="E727" s="28"/>
    </row>
    <row r="728">
      <c r="A728" s="28"/>
      <c r="B728" s="28"/>
      <c r="C728" s="28"/>
      <c r="E728" s="28"/>
    </row>
    <row r="729">
      <c r="A729" s="28"/>
      <c r="B729" s="28"/>
      <c r="C729" s="28"/>
      <c r="E729" s="28"/>
    </row>
    <row r="730">
      <c r="A730" s="28"/>
      <c r="B730" s="28"/>
      <c r="C730" s="28"/>
      <c r="E730" s="28"/>
    </row>
    <row r="731">
      <c r="A731" s="28"/>
      <c r="B731" s="28"/>
      <c r="C731" s="28"/>
      <c r="E731" s="28"/>
    </row>
    <row r="732">
      <c r="A732" s="28"/>
      <c r="B732" s="28"/>
      <c r="C732" s="28"/>
      <c r="E732" s="28"/>
    </row>
    <row r="733">
      <c r="A733" s="28"/>
      <c r="B733" s="28"/>
      <c r="C733" s="28"/>
      <c r="E733" s="28"/>
    </row>
    <row r="734">
      <c r="A734" s="28"/>
      <c r="B734" s="28"/>
      <c r="C734" s="28"/>
      <c r="E734" s="28"/>
    </row>
    <row r="735">
      <c r="A735" s="28"/>
      <c r="B735" s="28"/>
      <c r="C735" s="28"/>
      <c r="E735" s="28"/>
    </row>
    <row r="736">
      <c r="A736" s="28"/>
      <c r="B736" s="28"/>
      <c r="C736" s="28"/>
      <c r="E736" s="28"/>
    </row>
    <row r="737">
      <c r="A737" s="28"/>
      <c r="B737" s="28"/>
      <c r="C737" s="28"/>
      <c r="E737" s="28"/>
    </row>
    <row r="738">
      <c r="A738" s="28"/>
      <c r="B738" s="28"/>
      <c r="C738" s="28"/>
      <c r="E738" s="28"/>
    </row>
    <row r="739">
      <c r="A739" s="28"/>
      <c r="B739" s="28"/>
      <c r="C739" s="28"/>
      <c r="E739" s="28"/>
    </row>
    <row r="740">
      <c r="A740" s="28"/>
      <c r="B740" s="28"/>
      <c r="C740" s="28"/>
      <c r="E740" s="28"/>
    </row>
    <row r="741">
      <c r="A741" s="28"/>
      <c r="B741" s="28"/>
      <c r="C741" s="28"/>
      <c r="E741" s="28"/>
    </row>
    <row r="742">
      <c r="A742" s="28"/>
      <c r="B742" s="28"/>
      <c r="C742" s="28"/>
      <c r="E742" s="28"/>
    </row>
    <row r="743">
      <c r="A743" s="28"/>
      <c r="B743" s="28"/>
      <c r="C743" s="28"/>
      <c r="E743" s="28"/>
    </row>
    <row r="744">
      <c r="A744" s="28"/>
      <c r="B744" s="28"/>
      <c r="C744" s="28"/>
      <c r="E744" s="28"/>
    </row>
    <row r="745">
      <c r="A745" s="28"/>
      <c r="B745" s="28"/>
      <c r="C745" s="28"/>
      <c r="E745" s="28"/>
    </row>
    <row r="746">
      <c r="A746" s="28"/>
      <c r="B746" s="28"/>
      <c r="C746" s="28"/>
      <c r="E746" s="28"/>
    </row>
    <row r="747">
      <c r="A747" s="28"/>
      <c r="B747" s="28"/>
      <c r="C747" s="28"/>
      <c r="E747" s="28"/>
    </row>
    <row r="748">
      <c r="A748" s="28"/>
      <c r="B748" s="28"/>
      <c r="C748" s="28"/>
      <c r="E748" s="28"/>
    </row>
    <row r="749">
      <c r="A749" s="28"/>
      <c r="B749" s="28"/>
      <c r="C749" s="28"/>
      <c r="E749" s="28"/>
    </row>
    <row r="750">
      <c r="A750" s="28"/>
      <c r="B750" s="28"/>
      <c r="C750" s="28"/>
      <c r="E750" s="28"/>
    </row>
    <row r="751">
      <c r="A751" s="28"/>
      <c r="B751" s="28"/>
      <c r="C751" s="28"/>
      <c r="E751" s="28"/>
    </row>
    <row r="752">
      <c r="A752" s="28"/>
      <c r="B752" s="28"/>
      <c r="C752" s="28"/>
      <c r="E752" s="28"/>
    </row>
    <row r="753">
      <c r="A753" s="28"/>
      <c r="B753" s="28"/>
      <c r="C753" s="28"/>
      <c r="E753" s="28"/>
    </row>
    <row r="754">
      <c r="A754" s="28"/>
      <c r="B754" s="28"/>
      <c r="C754" s="28"/>
      <c r="E754" s="28"/>
    </row>
    <row r="755">
      <c r="A755" s="28"/>
      <c r="B755" s="28"/>
      <c r="C755" s="28"/>
      <c r="E755" s="28"/>
    </row>
    <row r="756">
      <c r="A756" s="28"/>
      <c r="B756" s="28"/>
      <c r="C756" s="28"/>
      <c r="E756" s="28"/>
    </row>
    <row r="757">
      <c r="A757" s="28"/>
      <c r="B757" s="28"/>
      <c r="C757" s="28"/>
      <c r="E757" s="28"/>
    </row>
    <row r="758">
      <c r="A758" s="28"/>
      <c r="B758" s="28"/>
      <c r="C758" s="28"/>
      <c r="E758" s="28"/>
    </row>
    <row r="759">
      <c r="A759" s="28"/>
      <c r="B759" s="28"/>
      <c r="C759" s="28"/>
      <c r="E759" s="28"/>
    </row>
    <row r="760">
      <c r="A760" s="28"/>
      <c r="B760" s="28"/>
      <c r="C760" s="28"/>
      <c r="E760" s="28"/>
    </row>
    <row r="761">
      <c r="A761" s="28"/>
      <c r="B761" s="28"/>
      <c r="C761" s="28"/>
      <c r="E761" s="28"/>
    </row>
    <row r="762">
      <c r="A762" s="28"/>
      <c r="B762" s="28"/>
      <c r="C762" s="28"/>
      <c r="E762" s="28"/>
    </row>
    <row r="763">
      <c r="A763" s="28"/>
      <c r="B763" s="28"/>
      <c r="C763" s="28"/>
      <c r="E763" s="28"/>
    </row>
    <row r="764">
      <c r="A764" s="28"/>
      <c r="B764" s="28"/>
      <c r="C764" s="28"/>
      <c r="E764" s="28"/>
    </row>
    <row r="765">
      <c r="A765" s="28"/>
      <c r="B765" s="28"/>
      <c r="C765" s="28"/>
      <c r="E765" s="28"/>
    </row>
    <row r="766">
      <c r="A766" s="28"/>
      <c r="B766" s="28"/>
      <c r="C766" s="28"/>
      <c r="E766" s="28"/>
    </row>
    <row r="767">
      <c r="A767" s="28"/>
      <c r="B767" s="28"/>
      <c r="C767" s="28"/>
      <c r="E767" s="28"/>
    </row>
    <row r="768">
      <c r="A768" s="28"/>
      <c r="B768" s="28"/>
      <c r="C768" s="28"/>
      <c r="E768" s="28"/>
    </row>
    <row r="769">
      <c r="A769" s="28"/>
      <c r="B769" s="28"/>
      <c r="C769" s="28"/>
      <c r="E769" s="28"/>
    </row>
    <row r="770">
      <c r="A770" s="28"/>
      <c r="B770" s="28"/>
      <c r="C770" s="28"/>
      <c r="E770" s="28"/>
    </row>
    <row r="771">
      <c r="A771" s="28"/>
      <c r="B771" s="28"/>
      <c r="C771" s="28"/>
      <c r="E771" s="28"/>
    </row>
    <row r="772">
      <c r="A772" s="28"/>
      <c r="B772" s="28"/>
      <c r="C772" s="28"/>
      <c r="E772" s="28"/>
    </row>
    <row r="773">
      <c r="A773" s="28"/>
      <c r="B773" s="28"/>
      <c r="C773" s="28"/>
      <c r="E773" s="28"/>
    </row>
    <row r="774">
      <c r="A774" s="28"/>
      <c r="B774" s="28"/>
      <c r="C774" s="28"/>
      <c r="E774" s="28"/>
    </row>
    <row r="775">
      <c r="A775" s="28"/>
      <c r="B775" s="28"/>
      <c r="C775" s="28"/>
      <c r="E775" s="28"/>
    </row>
    <row r="776">
      <c r="A776" s="28"/>
      <c r="B776" s="28"/>
      <c r="C776" s="28"/>
      <c r="E776" s="28"/>
    </row>
    <row r="777">
      <c r="A777" s="28"/>
      <c r="B777" s="28"/>
      <c r="C777" s="28"/>
      <c r="E777" s="28"/>
    </row>
    <row r="778">
      <c r="A778" s="28"/>
      <c r="B778" s="28"/>
      <c r="C778" s="28"/>
      <c r="E778" s="28"/>
    </row>
    <row r="779">
      <c r="A779" s="28"/>
      <c r="B779" s="28"/>
      <c r="C779" s="28"/>
      <c r="E779" s="28"/>
    </row>
    <row r="780">
      <c r="A780" s="28"/>
      <c r="B780" s="28"/>
      <c r="C780" s="28"/>
      <c r="E780" s="28"/>
    </row>
    <row r="781">
      <c r="A781" s="28"/>
      <c r="B781" s="28"/>
      <c r="C781" s="28"/>
      <c r="E781" s="28"/>
    </row>
    <row r="782">
      <c r="A782" s="28"/>
      <c r="B782" s="28"/>
      <c r="C782" s="28"/>
      <c r="E782" s="28"/>
    </row>
    <row r="783">
      <c r="A783" s="28"/>
      <c r="B783" s="28"/>
      <c r="C783" s="28"/>
      <c r="E783" s="28"/>
    </row>
    <row r="784">
      <c r="A784" s="28"/>
      <c r="B784" s="28"/>
      <c r="C784" s="28"/>
      <c r="E784" s="28"/>
    </row>
    <row r="785">
      <c r="A785" s="28"/>
      <c r="B785" s="28"/>
      <c r="C785" s="28"/>
      <c r="E785" s="28"/>
    </row>
    <row r="786">
      <c r="A786" s="28"/>
      <c r="B786" s="28"/>
      <c r="C786" s="28"/>
      <c r="E786" s="28"/>
    </row>
    <row r="787">
      <c r="A787" s="28"/>
      <c r="B787" s="28"/>
      <c r="C787" s="28"/>
      <c r="E787" s="28"/>
    </row>
    <row r="788">
      <c r="A788" s="28"/>
      <c r="B788" s="28"/>
      <c r="C788" s="28"/>
      <c r="E788" s="28"/>
    </row>
    <row r="789">
      <c r="A789" s="28"/>
      <c r="B789" s="28"/>
      <c r="C789" s="28"/>
      <c r="E789" s="28"/>
    </row>
    <row r="790">
      <c r="A790" s="28"/>
      <c r="B790" s="28"/>
      <c r="C790" s="28"/>
      <c r="E790" s="28"/>
    </row>
    <row r="791">
      <c r="A791" s="28"/>
      <c r="B791" s="28"/>
      <c r="C791" s="28"/>
      <c r="E791" s="28"/>
    </row>
    <row r="792">
      <c r="A792" s="28"/>
      <c r="B792" s="28"/>
      <c r="C792" s="28"/>
      <c r="E792" s="28"/>
    </row>
    <row r="793">
      <c r="A793" s="28"/>
      <c r="B793" s="28"/>
      <c r="C793" s="28"/>
      <c r="E793" s="28"/>
    </row>
    <row r="794">
      <c r="A794" s="28"/>
      <c r="B794" s="28"/>
      <c r="C794" s="28"/>
      <c r="E794" s="28"/>
    </row>
    <row r="795">
      <c r="A795" s="28"/>
      <c r="B795" s="28"/>
      <c r="C795" s="28"/>
      <c r="E795" s="28"/>
    </row>
    <row r="796">
      <c r="A796" s="28"/>
      <c r="B796" s="28"/>
      <c r="C796" s="28"/>
      <c r="E796" s="28"/>
    </row>
    <row r="797">
      <c r="A797" s="28"/>
      <c r="B797" s="28"/>
      <c r="C797" s="28"/>
      <c r="E797" s="28"/>
    </row>
    <row r="798">
      <c r="A798" s="28"/>
      <c r="B798" s="28"/>
      <c r="C798" s="28"/>
      <c r="E798" s="28"/>
    </row>
    <row r="799">
      <c r="A799" s="28"/>
      <c r="B799" s="28"/>
      <c r="C799" s="28"/>
      <c r="E799" s="28"/>
    </row>
    <row r="800">
      <c r="A800" s="28"/>
      <c r="B800" s="28"/>
      <c r="C800" s="28"/>
      <c r="E800" s="28"/>
    </row>
    <row r="801">
      <c r="A801" s="28"/>
      <c r="B801" s="28"/>
      <c r="C801" s="28"/>
      <c r="E801" s="28"/>
    </row>
    <row r="802">
      <c r="A802" s="28"/>
      <c r="B802" s="28"/>
      <c r="C802" s="28"/>
      <c r="E802" s="28"/>
    </row>
    <row r="803">
      <c r="A803" s="28"/>
      <c r="B803" s="28"/>
      <c r="C803" s="28"/>
      <c r="E803" s="28"/>
    </row>
    <row r="804">
      <c r="A804" s="28"/>
      <c r="B804" s="28"/>
      <c r="C804" s="28"/>
      <c r="E804" s="28"/>
    </row>
    <row r="805">
      <c r="A805" s="28"/>
      <c r="B805" s="28"/>
      <c r="C805" s="28"/>
      <c r="E805" s="28"/>
    </row>
    <row r="806">
      <c r="A806" s="28"/>
      <c r="B806" s="28"/>
      <c r="C806" s="28"/>
      <c r="E806" s="28"/>
    </row>
    <row r="807">
      <c r="A807" s="28"/>
      <c r="B807" s="28"/>
      <c r="C807" s="28"/>
      <c r="E807" s="28"/>
    </row>
    <row r="808">
      <c r="A808" s="28"/>
      <c r="B808" s="28"/>
      <c r="C808" s="28"/>
      <c r="E808" s="28"/>
    </row>
    <row r="809">
      <c r="A809" s="28"/>
      <c r="B809" s="28"/>
      <c r="C809" s="28"/>
      <c r="E809" s="28"/>
    </row>
    <row r="810">
      <c r="A810" s="28"/>
      <c r="B810" s="28"/>
      <c r="C810" s="28"/>
      <c r="E810" s="28"/>
    </row>
    <row r="811">
      <c r="A811" s="28"/>
      <c r="B811" s="28"/>
      <c r="C811" s="28"/>
      <c r="E811" s="28"/>
    </row>
    <row r="812">
      <c r="A812" s="28"/>
      <c r="B812" s="28"/>
      <c r="C812" s="28"/>
      <c r="E812" s="28"/>
    </row>
    <row r="813">
      <c r="A813" s="28"/>
      <c r="B813" s="28"/>
      <c r="C813" s="28"/>
      <c r="E813" s="28"/>
    </row>
    <row r="814">
      <c r="A814" s="28"/>
      <c r="B814" s="28"/>
      <c r="C814" s="28"/>
      <c r="E814" s="28"/>
    </row>
    <row r="815">
      <c r="A815" s="28"/>
      <c r="B815" s="28"/>
      <c r="C815" s="28"/>
      <c r="E815" s="28"/>
    </row>
    <row r="816">
      <c r="A816" s="28"/>
      <c r="B816" s="28"/>
      <c r="C816" s="28"/>
      <c r="E816" s="28"/>
    </row>
    <row r="817">
      <c r="A817" s="28"/>
      <c r="B817" s="28"/>
      <c r="C817" s="28"/>
      <c r="E817" s="28"/>
    </row>
    <row r="818">
      <c r="A818" s="28"/>
      <c r="B818" s="28"/>
      <c r="C818" s="28"/>
      <c r="E818" s="28"/>
    </row>
    <row r="819">
      <c r="A819" s="28"/>
      <c r="B819" s="28"/>
      <c r="C819" s="28"/>
      <c r="E819" s="28"/>
    </row>
    <row r="820">
      <c r="A820" s="28"/>
      <c r="B820" s="28"/>
      <c r="C820" s="28"/>
      <c r="E820" s="28"/>
    </row>
    <row r="821">
      <c r="A821" s="28"/>
      <c r="B821" s="28"/>
      <c r="C821" s="28"/>
      <c r="E821" s="28"/>
    </row>
    <row r="822">
      <c r="A822" s="28"/>
      <c r="B822" s="28"/>
      <c r="C822" s="28"/>
      <c r="E822" s="28"/>
    </row>
    <row r="823">
      <c r="A823" s="28"/>
      <c r="B823" s="28"/>
      <c r="C823" s="28"/>
      <c r="E823" s="28"/>
    </row>
    <row r="824">
      <c r="A824" s="28"/>
      <c r="B824" s="28"/>
      <c r="C824" s="28"/>
      <c r="E824" s="28"/>
    </row>
    <row r="825">
      <c r="A825" s="28"/>
      <c r="B825" s="28"/>
      <c r="C825" s="28"/>
      <c r="E825" s="28"/>
    </row>
    <row r="826">
      <c r="A826" s="28"/>
      <c r="B826" s="28"/>
      <c r="C826" s="28"/>
      <c r="E826" s="28"/>
    </row>
    <row r="827">
      <c r="A827" s="28"/>
      <c r="B827" s="28"/>
      <c r="C827" s="28"/>
      <c r="E827" s="28"/>
    </row>
    <row r="828">
      <c r="A828" s="28"/>
      <c r="B828" s="28"/>
      <c r="C828" s="28"/>
      <c r="E828" s="28"/>
    </row>
    <row r="829">
      <c r="A829" s="28"/>
      <c r="B829" s="28"/>
      <c r="C829" s="28"/>
      <c r="E829" s="28"/>
    </row>
    <row r="830">
      <c r="A830" s="28"/>
      <c r="B830" s="28"/>
      <c r="C830" s="28"/>
      <c r="E830" s="28"/>
    </row>
    <row r="831">
      <c r="A831" s="28"/>
      <c r="B831" s="28"/>
      <c r="C831" s="28"/>
      <c r="E831" s="28"/>
    </row>
    <row r="832">
      <c r="A832" s="28"/>
      <c r="B832" s="28"/>
      <c r="C832" s="28"/>
      <c r="E832" s="28"/>
    </row>
    <row r="833">
      <c r="A833" s="28"/>
      <c r="B833" s="28"/>
      <c r="C833" s="28"/>
      <c r="E833" s="28"/>
    </row>
    <row r="834">
      <c r="A834" s="28"/>
      <c r="B834" s="28"/>
      <c r="C834" s="28"/>
      <c r="E834" s="28"/>
    </row>
    <row r="835">
      <c r="A835" s="28"/>
      <c r="B835" s="28"/>
      <c r="C835" s="28"/>
      <c r="E835" s="28"/>
    </row>
    <row r="836">
      <c r="A836" s="28"/>
      <c r="B836" s="28"/>
      <c r="C836" s="28"/>
      <c r="E836" s="28"/>
    </row>
    <row r="837">
      <c r="A837" s="28"/>
      <c r="B837" s="28"/>
      <c r="C837" s="28"/>
      <c r="E837" s="28"/>
    </row>
    <row r="838">
      <c r="A838" s="28"/>
      <c r="B838" s="28"/>
      <c r="C838" s="28"/>
      <c r="E838" s="28"/>
    </row>
    <row r="839">
      <c r="A839" s="28"/>
      <c r="B839" s="28"/>
      <c r="C839" s="28"/>
      <c r="E839" s="28"/>
    </row>
    <row r="840">
      <c r="A840" s="28"/>
      <c r="B840" s="28"/>
      <c r="C840" s="28"/>
      <c r="E840" s="28"/>
    </row>
    <row r="841">
      <c r="A841" s="28"/>
      <c r="B841" s="28"/>
      <c r="C841" s="28"/>
      <c r="E841" s="28"/>
    </row>
    <row r="842">
      <c r="A842" s="28"/>
      <c r="B842" s="28"/>
      <c r="C842" s="28"/>
      <c r="E842" s="28"/>
    </row>
    <row r="843">
      <c r="A843" s="28"/>
      <c r="B843" s="28"/>
      <c r="C843" s="28"/>
      <c r="E843" s="28"/>
    </row>
    <row r="844">
      <c r="A844" s="28"/>
      <c r="B844" s="28"/>
      <c r="C844" s="28"/>
      <c r="E844" s="28"/>
    </row>
    <row r="845">
      <c r="A845" s="28"/>
      <c r="B845" s="28"/>
      <c r="C845" s="28"/>
      <c r="E845" s="28"/>
    </row>
    <row r="846">
      <c r="A846" s="28"/>
      <c r="B846" s="28"/>
      <c r="C846" s="28"/>
      <c r="E846" s="28"/>
    </row>
    <row r="847">
      <c r="A847" s="28"/>
      <c r="B847" s="28"/>
      <c r="C847" s="28"/>
      <c r="E847" s="28"/>
    </row>
    <row r="848">
      <c r="A848" s="28"/>
      <c r="B848" s="28"/>
      <c r="C848" s="28"/>
      <c r="E848" s="28"/>
    </row>
    <row r="849">
      <c r="A849" s="28"/>
      <c r="B849" s="28"/>
      <c r="C849" s="28"/>
      <c r="E849" s="28"/>
    </row>
    <row r="850">
      <c r="A850" s="28"/>
      <c r="B850" s="28"/>
      <c r="C850" s="28"/>
      <c r="E850" s="28"/>
    </row>
    <row r="851">
      <c r="A851" s="28"/>
      <c r="B851" s="28"/>
      <c r="C851" s="28"/>
      <c r="E851" s="28"/>
    </row>
    <row r="852">
      <c r="A852" s="28"/>
      <c r="B852" s="28"/>
      <c r="C852" s="28"/>
      <c r="E852" s="28"/>
    </row>
    <row r="853">
      <c r="A853" s="28"/>
      <c r="B853" s="28"/>
      <c r="C853" s="28"/>
      <c r="E853" s="28"/>
    </row>
    <row r="854">
      <c r="A854" s="28"/>
      <c r="B854" s="28"/>
      <c r="C854" s="28"/>
      <c r="E854" s="28"/>
    </row>
    <row r="855">
      <c r="A855" s="28"/>
      <c r="B855" s="28"/>
      <c r="C855" s="28"/>
      <c r="E855" s="28"/>
    </row>
    <row r="856">
      <c r="A856" s="28"/>
      <c r="B856" s="28"/>
      <c r="C856" s="28"/>
      <c r="E856" s="28"/>
    </row>
    <row r="857">
      <c r="A857" s="28"/>
      <c r="B857" s="28"/>
      <c r="C857" s="28"/>
      <c r="E857" s="28"/>
    </row>
    <row r="858">
      <c r="A858" s="28"/>
      <c r="B858" s="28"/>
      <c r="C858" s="28"/>
      <c r="E858" s="28"/>
    </row>
    <row r="859">
      <c r="A859" s="28"/>
      <c r="B859" s="28"/>
      <c r="C859" s="28"/>
      <c r="E859" s="28"/>
    </row>
    <row r="860">
      <c r="A860" s="28"/>
      <c r="B860" s="28"/>
      <c r="C860" s="28"/>
      <c r="E860" s="28"/>
    </row>
    <row r="861">
      <c r="A861" s="28"/>
      <c r="B861" s="28"/>
      <c r="C861" s="28"/>
      <c r="E861" s="28"/>
    </row>
    <row r="862">
      <c r="A862" s="28"/>
      <c r="B862" s="28"/>
      <c r="C862" s="28"/>
      <c r="E862" s="28"/>
    </row>
    <row r="863">
      <c r="A863" s="28"/>
      <c r="B863" s="28"/>
      <c r="C863" s="28"/>
      <c r="E863" s="28"/>
    </row>
    <row r="864">
      <c r="A864" s="28"/>
      <c r="B864" s="28"/>
      <c r="C864" s="28"/>
      <c r="E864" s="28"/>
    </row>
    <row r="865">
      <c r="A865" s="28"/>
      <c r="B865" s="28"/>
      <c r="C865" s="28"/>
      <c r="E865" s="28"/>
    </row>
    <row r="866">
      <c r="A866" s="28"/>
      <c r="B866" s="28"/>
      <c r="C866" s="28"/>
      <c r="E866" s="28"/>
    </row>
    <row r="867">
      <c r="A867" s="28"/>
      <c r="B867" s="28"/>
      <c r="C867" s="28"/>
      <c r="E867" s="28"/>
    </row>
    <row r="868">
      <c r="A868" s="28"/>
      <c r="B868" s="28"/>
      <c r="C868" s="28"/>
      <c r="E868" s="28"/>
    </row>
    <row r="869">
      <c r="A869" s="28"/>
      <c r="B869" s="28"/>
      <c r="C869" s="28"/>
      <c r="E869" s="28"/>
    </row>
    <row r="870">
      <c r="A870" s="28"/>
      <c r="B870" s="28"/>
      <c r="C870" s="28"/>
      <c r="E870" s="28"/>
    </row>
    <row r="871">
      <c r="A871" s="28"/>
      <c r="B871" s="28"/>
      <c r="C871" s="28"/>
      <c r="E871" s="28"/>
    </row>
    <row r="872">
      <c r="A872" s="28"/>
      <c r="B872" s="28"/>
      <c r="C872" s="28"/>
      <c r="E872" s="28"/>
    </row>
    <row r="873">
      <c r="A873" s="28"/>
      <c r="B873" s="28"/>
      <c r="C873" s="28"/>
      <c r="E873" s="28"/>
    </row>
    <row r="874">
      <c r="A874" s="28"/>
      <c r="B874" s="28"/>
      <c r="C874" s="28"/>
      <c r="E874" s="28"/>
    </row>
    <row r="875">
      <c r="A875" s="28"/>
      <c r="B875" s="28"/>
      <c r="C875" s="28"/>
      <c r="E875" s="28"/>
    </row>
    <row r="876">
      <c r="A876" s="28"/>
      <c r="B876" s="28"/>
      <c r="C876" s="28"/>
      <c r="E876" s="28"/>
    </row>
    <row r="877">
      <c r="A877" s="28"/>
      <c r="B877" s="28"/>
      <c r="C877" s="28"/>
      <c r="E877" s="28"/>
    </row>
    <row r="878">
      <c r="A878" s="28"/>
      <c r="B878" s="28"/>
      <c r="C878" s="28"/>
      <c r="E878" s="28"/>
    </row>
    <row r="879">
      <c r="A879" s="28"/>
      <c r="B879" s="28"/>
      <c r="C879" s="28"/>
      <c r="E879" s="28"/>
    </row>
    <row r="880">
      <c r="A880" s="28"/>
      <c r="B880" s="28"/>
      <c r="C880" s="28"/>
      <c r="E880" s="28"/>
    </row>
    <row r="881">
      <c r="A881" s="28"/>
      <c r="B881" s="28"/>
      <c r="C881" s="28"/>
      <c r="E881" s="28"/>
    </row>
    <row r="882">
      <c r="A882" s="28"/>
      <c r="B882" s="28"/>
      <c r="C882" s="28"/>
      <c r="E882" s="28"/>
    </row>
    <row r="883">
      <c r="A883" s="28"/>
      <c r="B883" s="28"/>
      <c r="C883" s="28"/>
      <c r="E883" s="28"/>
    </row>
    <row r="884">
      <c r="A884" s="28"/>
      <c r="B884" s="28"/>
      <c r="C884" s="28"/>
      <c r="E884" s="28"/>
    </row>
    <row r="885">
      <c r="A885" s="28"/>
      <c r="B885" s="28"/>
      <c r="C885" s="28"/>
      <c r="E885" s="28"/>
    </row>
    <row r="886">
      <c r="A886" s="28"/>
      <c r="B886" s="28"/>
      <c r="C886" s="28"/>
      <c r="E886" s="28"/>
    </row>
    <row r="887">
      <c r="A887" s="28"/>
      <c r="B887" s="28"/>
      <c r="C887" s="28"/>
      <c r="E887" s="28"/>
    </row>
    <row r="888">
      <c r="A888" s="28"/>
      <c r="B888" s="28"/>
      <c r="C888" s="28"/>
      <c r="E888" s="28"/>
    </row>
    <row r="889">
      <c r="A889" s="28"/>
      <c r="B889" s="28"/>
      <c r="C889" s="28"/>
      <c r="E889" s="28"/>
    </row>
    <row r="890">
      <c r="A890" s="28"/>
      <c r="B890" s="28"/>
      <c r="C890" s="28"/>
      <c r="E890" s="28"/>
    </row>
    <row r="891">
      <c r="A891" s="28"/>
      <c r="B891" s="28"/>
      <c r="C891" s="28"/>
      <c r="E891" s="28"/>
    </row>
    <row r="892">
      <c r="A892" s="28"/>
      <c r="B892" s="28"/>
      <c r="C892" s="28"/>
      <c r="E892" s="28"/>
    </row>
    <row r="893">
      <c r="A893" s="28"/>
      <c r="B893" s="28"/>
      <c r="C893" s="28"/>
      <c r="E893" s="28"/>
    </row>
    <row r="894">
      <c r="A894" s="28"/>
      <c r="B894" s="28"/>
      <c r="C894" s="28"/>
      <c r="E894" s="28"/>
    </row>
    <row r="895">
      <c r="A895" s="28"/>
      <c r="B895" s="28"/>
      <c r="C895" s="28"/>
      <c r="E895" s="28"/>
    </row>
    <row r="896">
      <c r="A896" s="28"/>
      <c r="B896" s="28"/>
      <c r="C896" s="28"/>
      <c r="E896" s="28"/>
    </row>
    <row r="897">
      <c r="A897" s="28"/>
      <c r="B897" s="28"/>
      <c r="C897" s="28"/>
      <c r="E897" s="28"/>
    </row>
    <row r="898">
      <c r="A898" s="28"/>
      <c r="B898" s="28"/>
      <c r="C898" s="28"/>
      <c r="E898" s="28"/>
    </row>
    <row r="899">
      <c r="A899" s="28"/>
      <c r="B899" s="28"/>
      <c r="C899" s="28"/>
      <c r="E899" s="28"/>
    </row>
    <row r="900">
      <c r="A900" s="28"/>
      <c r="B900" s="28"/>
      <c r="C900" s="28"/>
      <c r="E900" s="28"/>
    </row>
    <row r="901">
      <c r="A901" s="28"/>
      <c r="B901" s="28"/>
      <c r="C901" s="28"/>
      <c r="E901" s="28"/>
    </row>
    <row r="902">
      <c r="A902" s="28"/>
      <c r="B902" s="28"/>
      <c r="C902" s="28"/>
      <c r="E902" s="28"/>
    </row>
    <row r="903">
      <c r="A903" s="28"/>
      <c r="B903" s="28"/>
      <c r="C903" s="28"/>
      <c r="E903" s="28"/>
    </row>
    <row r="904">
      <c r="A904" s="28"/>
      <c r="B904" s="28"/>
      <c r="C904" s="28"/>
      <c r="E904" s="28"/>
    </row>
    <row r="905">
      <c r="A905" s="28"/>
      <c r="B905" s="28"/>
      <c r="C905" s="28"/>
      <c r="E905" s="28"/>
    </row>
    <row r="906">
      <c r="A906" s="28"/>
      <c r="B906" s="28"/>
      <c r="C906" s="28"/>
      <c r="E906" s="28"/>
    </row>
    <row r="907">
      <c r="A907" s="28"/>
      <c r="B907" s="28"/>
      <c r="C907" s="28"/>
      <c r="E907" s="28"/>
    </row>
    <row r="908">
      <c r="A908" s="28"/>
      <c r="B908" s="28"/>
      <c r="C908" s="28"/>
      <c r="E908" s="28"/>
    </row>
    <row r="909">
      <c r="A909" s="28"/>
      <c r="B909" s="28"/>
      <c r="C909" s="28"/>
      <c r="E909" s="28"/>
    </row>
    <row r="910">
      <c r="A910" s="28"/>
      <c r="B910" s="28"/>
      <c r="C910" s="28"/>
      <c r="E910" s="28"/>
    </row>
    <row r="911">
      <c r="A911" s="28"/>
      <c r="B911" s="28"/>
      <c r="C911" s="28"/>
      <c r="E911" s="28"/>
    </row>
    <row r="912">
      <c r="A912" s="28"/>
      <c r="B912" s="28"/>
      <c r="C912" s="28"/>
      <c r="E912" s="28"/>
    </row>
    <row r="913">
      <c r="A913" s="28"/>
      <c r="B913" s="28"/>
      <c r="C913" s="28"/>
      <c r="E913" s="28"/>
    </row>
    <row r="914">
      <c r="A914" s="28"/>
      <c r="B914" s="28"/>
      <c r="C914" s="28"/>
      <c r="E914" s="28"/>
    </row>
    <row r="915">
      <c r="A915" s="28"/>
      <c r="B915" s="28"/>
      <c r="C915" s="28"/>
      <c r="E915" s="28"/>
    </row>
    <row r="916">
      <c r="A916" s="28"/>
      <c r="B916" s="28"/>
      <c r="C916" s="28"/>
      <c r="E916" s="28"/>
    </row>
    <row r="917">
      <c r="A917" s="28"/>
      <c r="B917" s="28"/>
      <c r="C917" s="28"/>
      <c r="E917" s="28"/>
    </row>
    <row r="918">
      <c r="A918" s="28"/>
      <c r="B918" s="28"/>
      <c r="C918" s="28"/>
      <c r="E918" s="28"/>
    </row>
    <row r="919">
      <c r="A919" s="28"/>
      <c r="B919" s="28"/>
      <c r="C919" s="28"/>
      <c r="E919" s="28"/>
    </row>
    <row r="920">
      <c r="A920" s="28"/>
      <c r="B920" s="28"/>
      <c r="C920" s="28"/>
      <c r="E920" s="28"/>
    </row>
    <row r="921">
      <c r="A921" s="28"/>
      <c r="B921" s="28"/>
      <c r="C921" s="28"/>
      <c r="E921" s="28"/>
    </row>
    <row r="922">
      <c r="A922" s="28"/>
      <c r="B922" s="28"/>
      <c r="C922" s="28"/>
      <c r="E922" s="28"/>
    </row>
    <row r="923">
      <c r="A923" s="28"/>
      <c r="B923" s="28"/>
      <c r="C923" s="28"/>
      <c r="E923" s="28"/>
    </row>
    <row r="924">
      <c r="A924" s="28"/>
      <c r="B924" s="28"/>
      <c r="C924" s="28"/>
      <c r="E924" s="28"/>
    </row>
    <row r="925">
      <c r="A925" s="28"/>
      <c r="B925" s="28"/>
      <c r="C925" s="28"/>
      <c r="E925" s="28"/>
    </row>
    <row r="926">
      <c r="A926" s="28"/>
      <c r="B926" s="28"/>
      <c r="C926" s="28"/>
      <c r="E926" s="28"/>
    </row>
    <row r="927">
      <c r="A927" s="28"/>
      <c r="B927" s="28"/>
      <c r="C927" s="28"/>
      <c r="E927" s="28"/>
    </row>
    <row r="928">
      <c r="A928" s="28"/>
      <c r="B928" s="28"/>
      <c r="C928" s="28"/>
      <c r="E928" s="28"/>
    </row>
    <row r="929">
      <c r="A929" s="28"/>
      <c r="B929" s="28"/>
      <c r="C929" s="28"/>
      <c r="E929" s="28"/>
    </row>
    <row r="930">
      <c r="A930" s="28"/>
      <c r="B930" s="28"/>
      <c r="C930" s="28"/>
      <c r="E930" s="28"/>
    </row>
    <row r="931">
      <c r="A931" s="28"/>
      <c r="B931" s="28"/>
      <c r="C931" s="28"/>
      <c r="E931" s="28"/>
    </row>
    <row r="932">
      <c r="A932" s="28"/>
      <c r="B932" s="28"/>
      <c r="C932" s="28"/>
      <c r="E932" s="28"/>
    </row>
    <row r="933">
      <c r="A933" s="28"/>
      <c r="B933" s="28"/>
      <c r="C933" s="28"/>
      <c r="E933" s="28"/>
    </row>
    <row r="934">
      <c r="A934" s="28"/>
      <c r="B934" s="28"/>
      <c r="C934" s="28"/>
      <c r="E934" s="28"/>
    </row>
    <row r="935">
      <c r="A935" s="28"/>
      <c r="B935" s="28"/>
      <c r="C935" s="28"/>
      <c r="E935" s="28"/>
    </row>
    <row r="936">
      <c r="A936" s="28"/>
      <c r="B936" s="28"/>
      <c r="C936" s="28"/>
      <c r="E936" s="28"/>
    </row>
    <row r="937">
      <c r="A937" s="28"/>
      <c r="B937" s="28"/>
      <c r="C937" s="28"/>
      <c r="E937" s="28"/>
    </row>
    <row r="938">
      <c r="A938" s="28"/>
      <c r="B938" s="28"/>
      <c r="C938" s="28"/>
      <c r="E938" s="28"/>
    </row>
    <row r="939">
      <c r="A939" s="28"/>
      <c r="B939" s="28"/>
      <c r="C939" s="28"/>
      <c r="E939" s="28"/>
    </row>
    <row r="940">
      <c r="A940" s="28"/>
      <c r="B940" s="28"/>
      <c r="C940" s="28"/>
      <c r="E940" s="28"/>
    </row>
    <row r="941">
      <c r="A941" s="28"/>
      <c r="B941" s="28"/>
      <c r="C941" s="28"/>
      <c r="E941" s="28"/>
    </row>
    <row r="942">
      <c r="A942" s="28"/>
      <c r="B942" s="28"/>
      <c r="C942" s="28"/>
      <c r="E942" s="28"/>
    </row>
    <row r="943">
      <c r="A943" s="28"/>
      <c r="B943" s="28"/>
      <c r="C943" s="28"/>
      <c r="E943" s="28"/>
    </row>
    <row r="944">
      <c r="A944" s="28"/>
      <c r="B944" s="28"/>
      <c r="C944" s="28"/>
      <c r="E944" s="28"/>
    </row>
    <row r="945">
      <c r="A945" s="28"/>
      <c r="B945" s="28"/>
      <c r="C945" s="28"/>
      <c r="E945" s="28"/>
    </row>
    <row r="946">
      <c r="A946" s="28"/>
      <c r="B946" s="28"/>
      <c r="C946" s="28"/>
      <c r="E946" s="28"/>
    </row>
    <row r="947">
      <c r="A947" s="28"/>
      <c r="B947" s="28"/>
      <c r="C947" s="28"/>
      <c r="E947" s="28"/>
    </row>
    <row r="948">
      <c r="A948" s="28"/>
      <c r="B948" s="28"/>
      <c r="C948" s="28"/>
      <c r="E948" s="28"/>
    </row>
    <row r="949">
      <c r="A949" s="28"/>
      <c r="B949" s="28"/>
      <c r="C949" s="28"/>
      <c r="E949" s="28"/>
    </row>
    <row r="950">
      <c r="A950" s="28"/>
      <c r="B950" s="28"/>
      <c r="C950" s="28"/>
      <c r="E950" s="28"/>
    </row>
    <row r="951">
      <c r="A951" s="28"/>
      <c r="B951" s="28"/>
      <c r="C951" s="28"/>
      <c r="E951" s="28"/>
    </row>
    <row r="952">
      <c r="A952" s="28"/>
      <c r="B952" s="28"/>
      <c r="C952" s="28"/>
      <c r="E952" s="28"/>
    </row>
    <row r="953">
      <c r="A953" s="28"/>
      <c r="B953" s="28"/>
      <c r="C953" s="28"/>
      <c r="E953" s="28"/>
    </row>
    <row r="954">
      <c r="A954" s="28"/>
      <c r="B954" s="28"/>
      <c r="C954" s="28"/>
      <c r="E954" s="28"/>
    </row>
    <row r="955">
      <c r="A955" s="28"/>
      <c r="B955" s="28"/>
      <c r="C955" s="28"/>
      <c r="E955" s="28"/>
    </row>
    <row r="956">
      <c r="A956" s="28"/>
      <c r="B956" s="28"/>
      <c r="C956" s="28"/>
      <c r="E956" s="28"/>
    </row>
    <row r="957">
      <c r="A957" s="28"/>
      <c r="B957" s="28"/>
      <c r="C957" s="28"/>
      <c r="E957" s="28"/>
    </row>
    <row r="958">
      <c r="A958" s="28"/>
      <c r="B958" s="28"/>
      <c r="C958" s="28"/>
      <c r="E958" s="28"/>
    </row>
    <row r="959">
      <c r="A959" s="28"/>
      <c r="B959" s="28"/>
      <c r="C959" s="28"/>
      <c r="E959" s="28"/>
    </row>
    <row r="960">
      <c r="A960" s="28"/>
      <c r="B960" s="28"/>
      <c r="C960" s="28"/>
      <c r="E960" s="28"/>
    </row>
    <row r="961">
      <c r="A961" s="28"/>
      <c r="B961" s="28"/>
      <c r="C961" s="28"/>
      <c r="E961" s="28"/>
    </row>
    <row r="962">
      <c r="A962" s="28"/>
      <c r="B962" s="28"/>
      <c r="C962" s="28"/>
      <c r="E962" s="28"/>
    </row>
    <row r="963">
      <c r="A963" s="28"/>
      <c r="B963" s="28"/>
      <c r="C963" s="28"/>
      <c r="E963" s="28"/>
    </row>
    <row r="964">
      <c r="A964" s="28"/>
      <c r="B964" s="28"/>
      <c r="C964" s="28"/>
      <c r="E964" s="28"/>
    </row>
    <row r="965">
      <c r="A965" s="28"/>
      <c r="B965" s="28"/>
      <c r="C965" s="28"/>
      <c r="E965" s="28"/>
    </row>
    <row r="966">
      <c r="A966" s="28"/>
      <c r="B966" s="28"/>
      <c r="C966" s="28"/>
      <c r="E966" s="28"/>
    </row>
    <row r="967">
      <c r="A967" s="28"/>
      <c r="B967" s="28"/>
      <c r="C967" s="28"/>
      <c r="E967" s="28"/>
    </row>
    <row r="968">
      <c r="A968" s="28"/>
      <c r="B968" s="28"/>
      <c r="C968" s="28"/>
      <c r="E968" s="28"/>
    </row>
    <row r="969">
      <c r="A969" s="28"/>
      <c r="B969" s="28"/>
      <c r="C969" s="28"/>
      <c r="E969" s="28"/>
    </row>
    <row r="970">
      <c r="A970" s="28"/>
      <c r="B970" s="28"/>
      <c r="C970" s="28"/>
      <c r="E970" s="28"/>
    </row>
    <row r="971">
      <c r="A971" s="28"/>
      <c r="B971" s="28"/>
      <c r="C971" s="28"/>
      <c r="E971" s="28"/>
    </row>
    <row r="972">
      <c r="A972" s="28"/>
      <c r="B972" s="28"/>
      <c r="C972" s="28"/>
      <c r="E972" s="28"/>
    </row>
    <row r="973">
      <c r="A973" s="28"/>
      <c r="B973" s="28"/>
      <c r="C973" s="28"/>
      <c r="E973" s="28"/>
    </row>
    <row r="974">
      <c r="A974" s="28"/>
      <c r="B974" s="28"/>
      <c r="C974" s="28"/>
      <c r="E974" s="28"/>
    </row>
    <row r="975">
      <c r="A975" s="28"/>
      <c r="B975" s="28"/>
      <c r="C975" s="28"/>
      <c r="E975" s="28"/>
    </row>
    <row r="976">
      <c r="A976" s="28"/>
      <c r="B976" s="28"/>
      <c r="C976" s="28"/>
      <c r="E976" s="28"/>
    </row>
    <row r="977">
      <c r="A977" s="28"/>
      <c r="B977" s="28"/>
      <c r="C977" s="28"/>
      <c r="E977" s="28"/>
    </row>
    <row r="978">
      <c r="A978" s="28"/>
      <c r="B978" s="28"/>
      <c r="C978" s="28"/>
      <c r="E978" s="28"/>
    </row>
    <row r="979">
      <c r="A979" s="28"/>
      <c r="B979" s="28"/>
      <c r="C979" s="28"/>
      <c r="E979" s="28"/>
    </row>
    <row r="980">
      <c r="A980" s="28"/>
      <c r="B980" s="28"/>
      <c r="C980" s="28"/>
      <c r="E980" s="28"/>
    </row>
    <row r="981">
      <c r="A981" s="28"/>
      <c r="B981" s="28"/>
      <c r="C981" s="28"/>
      <c r="E981" s="28"/>
    </row>
    <row r="982">
      <c r="A982" s="28"/>
      <c r="B982" s="28"/>
      <c r="C982" s="28"/>
      <c r="E982" s="28"/>
    </row>
    <row r="983">
      <c r="A983" s="28"/>
      <c r="B983" s="28"/>
      <c r="C983" s="28"/>
      <c r="E983" s="28"/>
    </row>
    <row r="984">
      <c r="A984" s="28"/>
      <c r="B984" s="28"/>
      <c r="C984" s="28"/>
      <c r="E984" s="28"/>
    </row>
    <row r="985">
      <c r="A985" s="28"/>
      <c r="B985" s="28"/>
      <c r="C985" s="28"/>
      <c r="E985" s="28"/>
    </row>
    <row r="986">
      <c r="A986" s="28"/>
      <c r="B986" s="28"/>
      <c r="C986" s="28"/>
      <c r="E986" s="28"/>
    </row>
    <row r="987">
      <c r="A987" s="28"/>
      <c r="B987" s="28"/>
      <c r="C987" s="28"/>
      <c r="E987" s="28"/>
    </row>
    <row r="988">
      <c r="A988" s="28"/>
      <c r="B988" s="28"/>
      <c r="C988" s="28"/>
      <c r="E988" s="28"/>
    </row>
    <row r="989">
      <c r="A989" s="28"/>
      <c r="B989" s="28"/>
      <c r="C989" s="28"/>
      <c r="E989" s="28"/>
    </row>
    <row r="990">
      <c r="A990" s="28"/>
      <c r="B990" s="28"/>
      <c r="C990" s="28"/>
      <c r="E990" s="28"/>
    </row>
    <row r="991">
      <c r="A991" s="28"/>
      <c r="B991" s="28"/>
      <c r="C991" s="28"/>
      <c r="E991" s="28"/>
    </row>
    <row r="992">
      <c r="A992" s="28"/>
      <c r="B992" s="28"/>
      <c r="C992" s="28"/>
      <c r="E992" s="28"/>
    </row>
    <row r="993">
      <c r="A993" s="28"/>
      <c r="B993" s="28"/>
      <c r="C993" s="28"/>
      <c r="E993" s="28"/>
    </row>
    <row r="994">
      <c r="A994" s="28"/>
      <c r="B994" s="28"/>
      <c r="C994" s="28"/>
      <c r="E994" s="28"/>
    </row>
    <row r="995">
      <c r="A995" s="28"/>
      <c r="B995" s="28"/>
      <c r="C995" s="28"/>
      <c r="E995" s="28"/>
    </row>
    <row r="996">
      <c r="A996" s="28"/>
      <c r="B996" s="28"/>
      <c r="C996" s="28"/>
      <c r="E996" s="28"/>
    </row>
    <row r="997">
      <c r="A997" s="28"/>
      <c r="B997" s="28"/>
      <c r="C997" s="28"/>
      <c r="E997" s="28"/>
    </row>
    <row r="998">
      <c r="A998" s="28"/>
      <c r="B998" s="28"/>
      <c r="C998" s="28"/>
      <c r="E998" s="28"/>
    </row>
    <row r="999">
      <c r="A999" s="28"/>
      <c r="B999" s="28"/>
      <c r="C999" s="28"/>
      <c r="E999" s="28"/>
    </row>
    <row r="1000">
      <c r="A1000" s="28"/>
      <c r="B1000" s="28"/>
      <c r="C1000" s="28"/>
      <c r="E1000" s="28"/>
    </row>
  </sheetData>
  <dataValidations>
    <dataValidation type="list" allowBlank="1" showErrorMessage="1" sqref="B2:B1000">
      <formula1>"Uganda,Ghana,Nigeria,Zambia"</formula1>
    </dataValidation>
    <dataValidation type="custom" allowBlank="1" showDropDown="1" sqref="A1:A1000">
      <formula1>OR(NOT(ISERROR(DATEVALUE(A1))), AND(ISNUMBER(A1), LEFT(CELL("format", A1))="D"))</formula1>
    </dataValidation>
    <dataValidation type="list" allowBlank="1" showErrorMessage="1" sqref="C2:C1000">
      <formula1>"Whatsapp fun group,Whatapp channel,Telegram Fan group,Telegram Channel"</formula1>
    </dataValidation>
    <dataValidation type="list" allowBlank="1" showErrorMessage="1" sqref="E2:E1000">
      <formula1>"Completed ,Not Published "</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6.0"/>
    <col customWidth="1" min="3" max="3" width="24.13"/>
    <col customWidth="1" min="4" max="4" width="16.25"/>
    <col customWidth="1" min="5" max="5" width="15.5"/>
    <col customWidth="1" min="6" max="6" width="19.38"/>
    <col customWidth="1" min="8" max="8" width="18.38"/>
    <col customWidth="1" min="9" max="9" width="14.88"/>
    <col customWidth="1" min="13" max="13" width="16.25"/>
  </cols>
  <sheetData>
    <row r="1">
      <c r="A1" s="67" t="s">
        <v>399</v>
      </c>
      <c r="B1" s="68"/>
      <c r="C1" s="68"/>
      <c r="D1" s="68"/>
      <c r="E1" s="68"/>
      <c r="F1" s="68"/>
      <c r="G1" s="68"/>
      <c r="H1" s="68"/>
      <c r="I1" s="68"/>
      <c r="J1" s="68"/>
      <c r="K1" s="68"/>
      <c r="L1" s="69"/>
      <c r="M1" s="70">
        <f>TODAY()</f>
        <v>46325</v>
      </c>
    </row>
    <row r="2">
      <c r="A2" s="71"/>
      <c r="B2" s="72" t="s">
        <v>411</v>
      </c>
      <c r="C2" s="73" t="s">
        <v>413</v>
      </c>
      <c r="D2" s="74"/>
      <c r="E2" s="75" t="s">
        <v>416</v>
      </c>
      <c r="F2" s="76" t="s">
        <v>420</v>
      </c>
      <c r="G2" s="71"/>
      <c r="H2" s="75" t="s">
        <v>421</v>
      </c>
      <c r="I2" s="77" t="s">
        <v>422</v>
      </c>
      <c r="J2" s="78"/>
      <c r="K2" s="78"/>
      <c r="L2" s="78"/>
      <c r="M2" s="78"/>
    </row>
    <row r="3">
      <c r="A3" s="78"/>
      <c r="B3" s="78"/>
      <c r="C3" s="78"/>
      <c r="D3" s="79"/>
      <c r="E3" s="79"/>
      <c r="F3" s="79"/>
      <c r="G3" s="78"/>
      <c r="H3" s="78"/>
      <c r="I3" s="78"/>
      <c r="J3" s="78"/>
      <c r="K3" s="78"/>
      <c r="L3" s="78"/>
      <c r="M3" s="78"/>
    </row>
    <row r="4">
      <c r="A4" s="78"/>
      <c r="B4" s="80"/>
      <c r="C4" s="80"/>
      <c r="D4" s="79"/>
      <c r="E4" s="79"/>
      <c r="F4" s="79"/>
      <c r="G4" s="78"/>
      <c r="H4" s="78"/>
      <c r="I4" s="78"/>
      <c r="J4" s="78"/>
      <c r="K4" s="78"/>
      <c r="L4" s="78"/>
      <c r="M4" s="78"/>
    </row>
    <row r="5">
      <c r="A5" s="71"/>
      <c r="B5" s="81" t="s">
        <v>423</v>
      </c>
      <c r="C5" s="82"/>
      <c r="D5" s="79"/>
      <c r="E5" s="79"/>
      <c r="F5" s="79"/>
      <c r="G5" s="78"/>
      <c r="H5" s="78"/>
      <c r="I5" s="78"/>
      <c r="J5" s="83"/>
      <c r="K5" s="83"/>
      <c r="L5" s="83"/>
      <c r="M5" s="78"/>
    </row>
    <row r="6">
      <c r="A6" s="71"/>
      <c r="B6" s="81" t="s">
        <v>430</v>
      </c>
      <c r="C6" s="82"/>
      <c r="D6" s="84"/>
      <c r="E6" s="85"/>
      <c r="F6" s="85"/>
      <c r="G6" s="80"/>
      <c r="H6" s="80"/>
      <c r="I6" s="80"/>
      <c r="J6" s="86"/>
      <c r="K6" s="86"/>
      <c r="L6" s="86"/>
      <c r="M6" s="80"/>
    </row>
    <row r="7">
      <c r="A7" s="87"/>
      <c r="B7" s="88" t="s">
        <v>431</v>
      </c>
      <c r="C7" s="89" t="s">
        <v>432</v>
      </c>
      <c r="D7" s="90" t="s">
        <v>433</v>
      </c>
      <c r="E7" s="90" t="s">
        <v>434</v>
      </c>
      <c r="F7" s="91" t="s">
        <v>435</v>
      </c>
      <c r="G7" s="88" t="s">
        <v>12</v>
      </c>
      <c r="H7" s="88" t="s">
        <v>436</v>
      </c>
      <c r="I7" s="88" t="s">
        <v>437</v>
      </c>
      <c r="J7" s="72" t="s">
        <v>438</v>
      </c>
      <c r="K7" s="72" t="s">
        <v>439</v>
      </c>
      <c r="L7" s="72" t="s">
        <v>440</v>
      </c>
      <c r="M7" s="88" t="s">
        <v>441</v>
      </c>
    </row>
    <row r="8">
      <c r="A8" s="92"/>
      <c r="B8" s="93"/>
      <c r="C8" s="94"/>
      <c r="D8" s="95"/>
      <c r="E8" s="95"/>
      <c r="F8" s="87"/>
      <c r="G8" s="96" t="s">
        <v>442</v>
      </c>
      <c r="H8" s="97" t="str">
        <f t="shared" ref="H8:H16" si="1">IF(D8="","N/A",(E8-D8+1))</f>
        <v>N/A</v>
      </c>
      <c r="I8" s="97" t="str">
        <f t="shared" ref="I8:I16" si="2">IF(D8="","N/A",(D8-$M$1))</f>
        <v>N/A</v>
      </c>
      <c r="J8" s="98"/>
      <c r="K8" s="98"/>
      <c r="L8" s="99">
        <f t="shared" ref="L8:L16" si="3">IF(J8="",0,(K8-J8+1))</f>
        <v>0</v>
      </c>
      <c r="M8" s="100"/>
    </row>
    <row r="9">
      <c r="A9" s="92" t="s">
        <v>443</v>
      </c>
      <c r="B9" s="101"/>
      <c r="C9" s="94"/>
      <c r="D9" s="95"/>
      <c r="E9" s="95"/>
      <c r="F9" s="87"/>
      <c r="G9" s="96" t="s">
        <v>442</v>
      </c>
      <c r="H9" s="97" t="str">
        <f t="shared" si="1"/>
        <v>N/A</v>
      </c>
      <c r="I9" s="97" t="str">
        <f t="shared" si="2"/>
        <v>N/A</v>
      </c>
      <c r="J9" s="98"/>
      <c r="K9" s="98"/>
      <c r="L9" s="99">
        <f t="shared" si="3"/>
        <v>0</v>
      </c>
      <c r="M9" s="100"/>
    </row>
    <row r="10">
      <c r="A10" s="102" t="s">
        <v>444</v>
      </c>
      <c r="B10" s="103"/>
      <c r="C10" s="96"/>
      <c r="D10" s="95"/>
      <c r="E10" s="95"/>
      <c r="F10" s="87"/>
      <c r="G10" s="96" t="s">
        <v>442</v>
      </c>
      <c r="H10" s="97" t="str">
        <f t="shared" si="1"/>
        <v>N/A</v>
      </c>
      <c r="I10" s="97" t="str">
        <f t="shared" si="2"/>
        <v>N/A</v>
      </c>
      <c r="J10" s="98"/>
      <c r="K10" s="98"/>
      <c r="L10" s="99">
        <f t="shared" si="3"/>
        <v>0</v>
      </c>
      <c r="M10" s="100"/>
    </row>
    <row r="11">
      <c r="A11" s="102" t="s">
        <v>445</v>
      </c>
      <c r="B11" s="103"/>
      <c r="C11" s="96"/>
      <c r="D11" s="95"/>
      <c r="E11" s="95"/>
      <c r="F11" s="87"/>
      <c r="G11" s="96" t="s">
        <v>442</v>
      </c>
      <c r="H11" s="97" t="str">
        <f t="shared" si="1"/>
        <v>N/A</v>
      </c>
      <c r="I11" s="97" t="str">
        <f t="shared" si="2"/>
        <v>N/A</v>
      </c>
      <c r="J11" s="98"/>
      <c r="K11" s="98"/>
      <c r="L11" s="99">
        <f t="shared" si="3"/>
        <v>0</v>
      </c>
      <c r="M11" s="100"/>
    </row>
    <row r="12">
      <c r="A12" s="102" t="s">
        <v>446</v>
      </c>
      <c r="B12" s="103"/>
      <c r="C12" s="96"/>
      <c r="D12" s="95"/>
      <c r="E12" s="95"/>
      <c r="F12" s="87"/>
      <c r="G12" s="96" t="s">
        <v>442</v>
      </c>
      <c r="H12" s="97" t="str">
        <f t="shared" si="1"/>
        <v>N/A</v>
      </c>
      <c r="I12" s="97" t="str">
        <f t="shared" si="2"/>
        <v>N/A</v>
      </c>
      <c r="J12" s="98"/>
      <c r="K12" s="98"/>
      <c r="L12" s="99">
        <f t="shared" si="3"/>
        <v>0</v>
      </c>
      <c r="M12" s="104"/>
    </row>
    <row r="13">
      <c r="A13" s="102" t="s">
        <v>447</v>
      </c>
      <c r="B13" s="103"/>
      <c r="C13" s="96"/>
      <c r="D13" s="95"/>
      <c r="E13" s="95"/>
      <c r="F13" s="87"/>
      <c r="G13" s="96" t="s">
        <v>442</v>
      </c>
      <c r="H13" s="97" t="str">
        <f t="shared" si="1"/>
        <v>N/A</v>
      </c>
      <c r="I13" s="97" t="str">
        <f t="shared" si="2"/>
        <v>N/A</v>
      </c>
      <c r="J13" s="98"/>
      <c r="K13" s="98"/>
      <c r="L13" s="99">
        <f t="shared" si="3"/>
        <v>0</v>
      </c>
      <c r="M13" s="104"/>
    </row>
    <row r="14">
      <c r="A14" s="102" t="s">
        <v>448</v>
      </c>
      <c r="B14" s="103"/>
      <c r="C14" s="96"/>
      <c r="D14" s="95"/>
      <c r="E14" s="95"/>
      <c r="F14" s="87"/>
      <c r="G14" s="96" t="s">
        <v>442</v>
      </c>
      <c r="H14" s="97" t="str">
        <f t="shared" si="1"/>
        <v>N/A</v>
      </c>
      <c r="I14" s="97" t="str">
        <f t="shared" si="2"/>
        <v>N/A</v>
      </c>
      <c r="J14" s="105"/>
      <c r="K14" s="105"/>
      <c r="L14" s="99">
        <f t="shared" si="3"/>
        <v>0</v>
      </c>
      <c r="M14" s="104"/>
    </row>
    <row r="15">
      <c r="A15" s="102" t="s">
        <v>449</v>
      </c>
      <c r="B15" s="103"/>
      <c r="C15" s="96"/>
      <c r="D15" s="95"/>
      <c r="E15" s="95"/>
      <c r="F15" s="87"/>
      <c r="G15" s="87" t="s">
        <v>450</v>
      </c>
      <c r="H15" s="97" t="str">
        <f t="shared" si="1"/>
        <v>N/A</v>
      </c>
      <c r="I15" s="97" t="str">
        <f t="shared" si="2"/>
        <v>N/A</v>
      </c>
      <c r="J15" s="105"/>
      <c r="K15" s="105"/>
      <c r="L15" s="99">
        <f t="shared" si="3"/>
        <v>0</v>
      </c>
      <c r="M15" s="104"/>
    </row>
    <row r="16">
      <c r="A16" s="102" t="s">
        <v>451</v>
      </c>
      <c r="B16" s="103"/>
      <c r="C16" s="96"/>
      <c r="D16" s="95"/>
      <c r="E16" s="95"/>
      <c r="F16" s="87"/>
      <c r="G16" s="87" t="s">
        <v>450</v>
      </c>
      <c r="H16" s="97" t="str">
        <f t="shared" si="1"/>
        <v>N/A</v>
      </c>
      <c r="I16" s="97" t="str">
        <f t="shared" si="2"/>
        <v>N/A</v>
      </c>
      <c r="J16" s="105"/>
      <c r="K16" s="105"/>
      <c r="L16" s="99">
        <f t="shared" si="3"/>
        <v>0</v>
      </c>
      <c r="M16" s="87"/>
    </row>
    <row r="17">
      <c r="A17" s="78"/>
      <c r="B17" s="78"/>
      <c r="C17" s="78"/>
      <c r="D17" s="79"/>
      <c r="E17" s="79"/>
      <c r="F17" s="79"/>
      <c r="G17" s="78"/>
      <c r="H17" s="78"/>
      <c r="I17" s="78"/>
      <c r="J17" s="78"/>
      <c r="K17" s="78"/>
      <c r="L17" s="78"/>
      <c r="M17" s="78"/>
    </row>
    <row r="18">
      <c r="A18" s="78"/>
      <c r="B18" s="80"/>
      <c r="C18" s="80"/>
      <c r="D18" s="79"/>
      <c r="E18" s="79"/>
      <c r="F18" s="79"/>
      <c r="G18" s="78"/>
      <c r="H18" s="78"/>
      <c r="I18" s="78"/>
      <c r="J18" s="78"/>
      <c r="K18" s="78"/>
      <c r="L18" s="78"/>
      <c r="M18" s="78"/>
    </row>
    <row r="19">
      <c r="A19" s="71"/>
      <c r="B19" s="81" t="s">
        <v>423</v>
      </c>
      <c r="C19" s="82"/>
      <c r="D19" s="79"/>
      <c r="E19" s="79"/>
      <c r="F19" s="79"/>
      <c r="G19" s="78"/>
      <c r="H19" s="78"/>
      <c r="I19" s="78"/>
      <c r="J19" s="83"/>
      <c r="K19" s="83"/>
      <c r="L19" s="83"/>
      <c r="M19" s="106"/>
    </row>
    <row r="20">
      <c r="A20" s="71"/>
      <c r="B20" s="81" t="s">
        <v>430</v>
      </c>
      <c r="C20" s="107"/>
      <c r="D20" s="85"/>
      <c r="E20" s="85"/>
      <c r="F20" s="85"/>
      <c r="G20" s="80"/>
      <c r="H20" s="80"/>
      <c r="I20" s="80"/>
      <c r="J20" s="86"/>
      <c r="K20" s="86"/>
      <c r="L20" s="86"/>
      <c r="M20" s="80"/>
    </row>
    <row r="21">
      <c r="A21" s="87"/>
      <c r="B21" s="88" t="s">
        <v>431</v>
      </c>
      <c r="C21" s="89" t="s">
        <v>432</v>
      </c>
      <c r="D21" s="90" t="s">
        <v>433</v>
      </c>
      <c r="E21" s="90" t="s">
        <v>434</v>
      </c>
      <c r="F21" s="91" t="s">
        <v>435</v>
      </c>
      <c r="G21" s="88" t="s">
        <v>12</v>
      </c>
      <c r="H21" s="88" t="s">
        <v>436</v>
      </c>
      <c r="I21" s="88" t="s">
        <v>437</v>
      </c>
      <c r="J21" s="72" t="s">
        <v>438</v>
      </c>
      <c r="K21" s="72" t="s">
        <v>439</v>
      </c>
      <c r="L21" s="72" t="s">
        <v>440</v>
      </c>
      <c r="M21" s="88" t="s">
        <v>441</v>
      </c>
    </row>
    <row r="22">
      <c r="A22" s="102" t="s">
        <v>452</v>
      </c>
      <c r="B22" s="101"/>
      <c r="C22" s="94"/>
      <c r="D22" s="108"/>
      <c r="E22" s="108"/>
      <c r="F22" s="109"/>
      <c r="G22" s="94" t="s">
        <v>442</v>
      </c>
      <c r="H22" s="110" t="str">
        <f t="shared" ref="H22:H34" si="4">IF(D22="","N/A",(E22-D22+1))</f>
        <v>N/A</v>
      </c>
      <c r="I22" s="110" t="str">
        <f t="shared" ref="I22:I34" si="5">IF(D22="","N/A",(D22-$M$1))</f>
        <v>N/A</v>
      </c>
      <c r="J22" s="111"/>
      <c r="K22" s="111"/>
      <c r="L22" s="112">
        <f t="shared" ref="L22:L34" si="6">IF(J22="",0,(K22-J22+1))</f>
        <v>0</v>
      </c>
      <c r="M22" s="113"/>
    </row>
    <row r="23">
      <c r="A23" s="102" t="s">
        <v>453</v>
      </c>
      <c r="B23" s="101"/>
      <c r="C23" s="94"/>
      <c r="D23" s="108"/>
      <c r="E23" s="108"/>
      <c r="F23" s="109"/>
      <c r="G23" s="94" t="s">
        <v>442</v>
      </c>
      <c r="H23" s="110" t="str">
        <f t="shared" si="4"/>
        <v>N/A</v>
      </c>
      <c r="I23" s="110" t="str">
        <f t="shared" si="5"/>
        <v>N/A</v>
      </c>
      <c r="J23" s="111"/>
      <c r="K23" s="111"/>
      <c r="L23" s="112">
        <f t="shared" si="6"/>
        <v>0</v>
      </c>
      <c r="M23" s="113"/>
    </row>
    <row r="24">
      <c r="A24" s="102" t="s">
        <v>454</v>
      </c>
      <c r="B24" s="101"/>
      <c r="C24" s="94"/>
      <c r="D24" s="108"/>
      <c r="E24" s="108"/>
      <c r="F24" s="109"/>
      <c r="G24" s="94" t="s">
        <v>442</v>
      </c>
      <c r="H24" s="110" t="str">
        <f t="shared" si="4"/>
        <v>N/A</v>
      </c>
      <c r="I24" s="110" t="str">
        <f t="shared" si="5"/>
        <v>N/A</v>
      </c>
      <c r="J24" s="111"/>
      <c r="K24" s="111"/>
      <c r="L24" s="112">
        <f t="shared" si="6"/>
        <v>0</v>
      </c>
      <c r="M24" s="113"/>
    </row>
    <row r="25">
      <c r="A25" s="102" t="s">
        <v>455</v>
      </c>
      <c r="B25" s="101"/>
      <c r="C25" s="94"/>
      <c r="D25" s="108"/>
      <c r="E25" s="108"/>
      <c r="F25" s="109"/>
      <c r="G25" s="94" t="s">
        <v>442</v>
      </c>
      <c r="H25" s="110" t="str">
        <f t="shared" si="4"/>
        <v>N/A</v>
      </c>
      <c r="I25" s="110" t="str">
        <f t="shared" si="5"/>
        <v>N/A</v>
      </c>
      <c r="J25" s="111"/>
      <c r="K25" s="111"/>
      <c r="L25" s="112">
        <f t="shared" si="6"/>
        <v>0</v>
      </c>
      <c r="M25" s="113"/>
    </row>
    <row r="26">
      <c r="A26" s="102" t="s">
        <v>456</v>
      </c>
      <c r="B26" s="101"/>
      <c r="C26" s="94"/>
      <c r="D26" s="108"/>
      <c r="E26" s="108"/>
      <c r="F26" s="109"/>
      <c r="G26" s="94" t="s">
        <v>442</v>
      </c>
      <c r="H26" s="110" t="str">
        <f t="shared" si="4"/>
        <v>N/A</v>
      </c>
      <c r="I26" s="110" t="str">
        <f t="shared" si="5"/>
        <v>N/A</v>
      </c>
      <c r="J26" s="111"/>
      <c r="K26" s="111"/>
      <c r="L26" s="112">
        <f t="shared" si="6"/>
        <v>0</v>
      </c>
      <c r="M26" s="113"/>
    </row>
    <row r="27">
      <c r="A27" s="102" t="s">
        <v>457</v>
      </c>
      <c r="B27" s="101"/>
      <c r="C27" s="94"/>
      <c r="D27" s="108"/>
      <c r="E27" s="108"/>
      <c r="F27" s="109"/>
      <c r="G27" s="94" t="s">
        <v>442</v>
      </c>
      <c r="H27" s="110" t="str">
        <f t="shared" si="4"/>
        <v>N/A</v>
      </c>
      <c r="I27" s="110" t="str">
        <f t="shared" si="5"/>
        <v>N/A</v>
      </c>
      <c r="J27" s="111"/>
      <c r="K27" s="111"/>
      <c r="L27" s="112">
        <f t="shared" si="6"/>
        <v>0</v>
      </c>
      <c r="M27" s="113"/>
    </row>
    <row r="28">
      <c r="A28" s="102" t="s">
        <v>458</v>
      </c>
      <c r="B28" s="101"/>
      <c r="C28" s="94"/>
      <c r="D28" s="108"/>
      <c r="E28" s="108"/>
      <c r="F28" s="109"/>
      <c r="G28" s="94" t="s">
        <v>442</v>
      </c>
      <c r="H28" s="110" t="str">
        <f t="shared" si="4"/>
        <v>N/A</v>
      </c>
      <c r="I28" s="110" t="str">
        <f t="shared" si="5"/>
        <v>N/A</v>
      </c>
      <c r="J28" s="111"/>
      <c r="K28" s="111"/>
      <c r="L28" s="112">
        <f t="shared" si="6"/>
        <v>0</v>
      </c>
      <c r="M28" s="113"/>
    </row>
    <row r="29">
      <c r="A29" s="102" t="s">
        <v>459</v>
      </c>
      <c r="B29" s="101"/>
      <c r="C29" s="94"/>
      <c r="D29" s="108"/>
      <c r="E29" s="108"/>
      <c r="F29" s="109"/>
      <c r="G29" s="94" t="s">
        <v>442</v>
      </c>
      <c r="H29" s="110" t="str">
        <f t="shared" si="4"/>
        <v>N/A</v>
      </c>
      <c r="I29" s="110" t="str">
        <f t="shared" si="5"/>
        <v>N/A</v>
      </c>
      <c r="J29" s="111"/>
      <c r="K29" s="111"/>
      <c r="L29" s="112">
        <f t="shared" si="6"/>
        <v>0</v>
      </c>
      <c r="M29" s="113"/>
    </row>
    <row r="30">
      <c r="A30" s="102" t="s">
        <v>460</v>
      </c>
      <c r="B30" s="101"/>
      <c r="C30" s="94"/>
      <c r="D30" s="108"/>
      <c r="E30" s="108"/>
      <c r="F30" s="109"/>
      <c r="G30" s="94" t="s">
        <v>442</v>
      </c>
      <c r="H30" s="110" t="str">
        <f t="shared" si="4"/>
        <v>N/A</v>
      </c>
      <c r="I30" s="110" t="str">
        <f t="shared" si="5"/>
        <v>N/A</v>
      </c>
      <c r="J30" s="111"/>
      <c r="K30" s="111"/>
      <c r="L30" s="112">
        <f t="shared" si="6"/>
        <v>0</v>
      </c>
      <c r="M30" s="113"/>
    </row>
    <row r="31">
      <c r="A31" s="102" t="s">
        <v>461</v>
      </c>
      <c r="B31" s="101"/>
      <c r="C31" s="94"/>
      <c r="D31" s="108"/>
      <c r="E31" s="108"/>
      <c r="F31" s="109"/>
      <c r="G31" s="94" t="s">
        <v>442</v>
      </c>
      <c r="H31" s="110" t="str">
        <f t="shared" si="4"/>
        <v>N/A</v>
      </c>
      <c r="I31" s="110" t="str">
        <f t="shared" si="5"/>
        <v>N/A</v>
      </c>
      <c r="J31" s="111"/>
      <c r="K31" s="111"/>
      <c r="L31" s="112">
        <f t="shared" si="6"/>
        <v>0</v>
      </c>
      <c r="M31" s="113"/>
    </row>
    <row r="32">
      <c r="A32" s="92" t="s">
        <v>462</v>
      </c>
      <c r="B32" s="101"/>
      <c r="C32" s="94"/>
      <c r="D32" s="108"/>
      <c r="E32" s="108"/>
      <c r="F32" s="109"/>
      <c r="G32" s="94" t="s">
        <v>442</v>
      </c>
      <c r="H32" s="110" t="str">
        <f t="shared" si="4"/>
        <v>N/A</v>
      </c>
      <c r="I32" s="110" t="str">
        <f t="shared" si="5"/>
        <v>N/A</v>
      </c>
      <c r="J32" s="111"/>
      <c r="K32" s="111"/>
      <c r="L32" s="112">
        <f t="shared" si="6"/>
        <v>0</v>
      </c>
      <c r="M32" s="113"/>
    </row>
    <row r="33">
      <c r="A33" s="92" t="s">
        <v>463</v>
      </c>
      <c r="B33" s="101"/>
      <c r="C33" s="94"/>
      <c r="D33" s="108"/>
      <c r="E33" s="108"/>
      <c r="F33" s="109"/>
      <c r="G33" s="94" t="s">
        <v>442</v>
      </c>
      <c r="H33" s="110" t="str">
        <f t="shared" si="4"/>
        <v>N/A</v>
      </c>
      <c r="I33" s="110" t="str">
        <f t="shared" si="5"/>
        <v>N/A</v>
      </c>
      <c r="J33" s="111"/>
      <c r="K33" s="111"/>
      <c r="L33" s="112">
        <f t="shared" si="6"/>
        <v>0</v>
      </c>
      <c r="M33" s="113"/>
    </row>
    <row r="34">
      <c r="A34" s="92" t="s">
        <v>464</v>
      </c>
      <c r="B34" s="101"/>
      <c r="C34" s="94"/>
      <c r="D34" s="108"/>
      <c r="E34" s="108"/>
      <c r="F34" s="109"/>
      <c r="G34" s="94" t="s">
        <v>442</v>
      </c>
      <c r="H34" s="110" t="str">
        <f t="shared" si="4"/>
        <v>N/A</v>
      </c>
      <c r="I34" s="110" t="str">
        <f t="shared" si="5"/>
        <v>N/A</v>
      </c>
      <c r="J34" s="111"/>
      <c r="K34" s="111"/>
      <c r="L34" s="112">
        <f t="shared" si="6"/>
        <v>0</v>
      </c>
      <c r="M34" s="113"/>
    </row>
    <row r="35">
      <c r="A35" s="78"/>
      <c r="B35" s="80"/>
      <c r="C35" s="80"/>
      <c r="D35" s="79"/>
      <c r="E35" s="79"/>
      <c r="F35" s="79"/>
      <c r="G35" s="78"/>
      <c r="H35" s="78"/>
      <c r="I35" s="78"/>
      <c r="J35" s="78"/>
      <c r="K35" s="78"/>
      <c r="L35" s="78"/>
      <c r="M35" s="78"/>
    </row>
    <row r="36">
      <c r="A36" s="71"/>
      <c r="B36" s="81" t="s">
        <v>423</v>
      </c>
      <c r="C36" s="82"/>
      <c r="D36" s="79"/>
      <c r="E36" s="79"/>
      <c r="F36" s="79"/>
      <c r="G36" s="78"/>
      <c r="H36" s="78"/>
      <c r="I36" s="78"/>
      <c r="J36" s="83"/>
      <c r="K36" s="83"/>
      <c r="L36" s="83"/>
      <c r="M36" s="78"/>
    </row>
    <row r="37">
      <c r="A37" s="71"/>
      <c r="B37" s="81" t="s">
        <v>430</v>
      </c>
      <c r="C37" s="82"/>
      <c r="D37" s="85"/>
      <c r="E37" s="85"/>
      <c r="F37" s="85"/>
      <c r="G37" s="80"/>
      <c r="H37" s="80"/>
      <c r="I37" s="80"/>
      <c r="J37" s="86"/>
      <c r="K37" s="86"/>
      <c r="L37" s="86"/>
      <c r="M37" s="80"/>
    </row>
    <row r="38">
      <c r="A38" s="87"/>
      <c r="B38" s="88" t="s">
        <v>431</v>
      </c>
      <c r="C38" s="89" t="s">
        <v>432</v>
      </c>
      <c r="D38" s="90" t="s">
        <v>433</v>
      </c>
      <c r="E38" s="90" t="s">
        <v>434</v>
      </c>
      <c r="F38" s="91" t="s">
        <v>435</v>
      </c>
      <c r="G38" s="88" t="s">
        <v>12</v>
      </c>
      <c r="H38" s="88" t="s">
        <v>436</v>
      </c>
      <c r="I38" s="88" t="s">
        <v>437</v>
      </c>
      <c r="J38" s="72" t="s">
        <v>438</v>
      </c>
      <c r="K38" s="72" t="s">
        <v>439</v>
      </c>
      <c r="L38" s="72" t="s">
        <v>440</v>
      </c>
      <c r="M38" s="88" t="s">
        <v>441</v>
      </c>
    </row>
    <row r="39">
      <c r="A39" s="102" t="s">
        <v>465</v>
      </c>
      <c r="B39" s="103"/>
      <c r="C39" s="96"/>
      <c r="D39" s="108"/>
      <c r="E39" s="108"/>
      <c r="F39" s="87"/>
      <c r="G39" s="96"/>
      <c r="H39" s="97" t="str">
        <f t="shared" ref="H39:H46" si="7">IF(D39="","N/A",(E39-D39+1))</f>
        <v>N/A</v>
      </c>
      <c r="I39" s="97" t="str">
        <f t="shared" ref="I39:I46" si="8">IF(D39="","N/A",(D39-$M$1))</f>
        <v>N/A</v>
      </c>
      <c r="J39" s="99"/>
      <c r="K39" s="99"/>
      <c r="L39" s="99">
        <f t="shared" ref="L39:L46" si="9">IF(J39="",0,(K39-J39+1))</f>
        <v>0</v>
      </c>
      <c r="M39" s="104"/>
    </row>
    <row r="40">
      <c r="A40" s="102" t="s">
        <v>467</v>
      </c>
      <c r="B40" s="114"/>
      <c r="C40" s="115"/>
      <c r="D40" s="108"/>
      <c r="E40" s="108"/>
      <c r="F40" s="96"/>
      <c r="G40" s="96"/>
      <c r="H40" s="97" t="str">
        <f t="shared" si="7"/>
        <v>N/A</v>
      </c>
      <c r="I40" s="97" t="str">
        <f t="shared" si="8"/>
        <v>N/A</v>
      </c>
      <c r="J40" s="105"/>
      <c r="K40" s="105"/>
      <c r="L40" s="99">
        <f t="shared" si="9"/>
        <v>0</v>
      </c>
      <c r="M40" s="87"/>
    </row>
    <row r="41">
      <c r="A41" s="116" t="s">
        <v>468</v>
      </c>
      <c r="B41" s="117"/>
      <c r="C41" s="118"/>
      <c r="D41" s="119"/>
      <c r="E41" s="108"/>
      <c r="F41" s="120"/>
      <c r="G41" s="96"/>
      <c r="H41" s="97" t="str">
        <f t="shared" si="7"/>
        <v>N/A</v>
      </c>
      <c r="I41" s="97" t="str">
        <f t="shared" si="8"/>
        <v>N/A</v>
      </c>
      <c r="J41" s="105"/>
      <c r="K41" s="105"/>
      <c r="L41" s="99">
        <f t="shared" si="9"/>
        <v>0</v>
      </c>
      <c r="M41" s="87"/>
    </row>
    <row r="42">
      <c r="A42" s="116" t="s">
        <v>469</v>
      </c>
      <c r="B42" s="117"/>
      <c r="C42" s="121"/>
      <c r="D42" s="119"/>
      <c r="E42" s="108"/>
      <c r="F42" s="120"/>
      <c r="G42" s="96"/>
      <c r="H42" s="97" t="str">
        <f t="shared" si="7"/>
        <v>N/A</v>
      </c>
      <c r="I42" s="97" t="str">
        <f t="shared" si="8"/>
        <v>N/A</v>
      </c>
      <c r="J42" s="105"/>
      <c r="K42" s="105"/>
      <c r="L42" s="99">
        <f t="shared" si="9"/>
        <v>0</v>
      </c>
      <c r="M42" s="87"/>
    </row>
    <row r="43">
      <c r="A43" s="102" t="s">
        <v>470</v>
      </c>
      <c r="B43" s="103"/>
      <c r="C43" s="121"/>
      <c r="D43" s="108"/>
      <c r="E43" s="108"/>
      <c r="F43" s="120"/>
      <c r="G43" s="96"/>
      <c r="H43" s="97" t="str">
        <f t="shared" si="7"/>
        <v>N/A</v>
      </c>
      <c r="I43" s="97" t="str">
        <f t="shared" si="8"/>
        <v>N/A</v>
      </c>
      <c r="J43" s="105"/>
      <c r="K43" s="105"/>
      <c r="L43" s="99">
        <f t="shared" si="9"/>
        <v>0</v>
      </c>
      <c r="M43" s="87"/>
    </row>
    <row r="44">
      <c r="A44" s="102" t="s">
        <v>471</v>
      </c>
      <c r="B44" s="103"/>
      <c r="C44" s="96"/>
      <c r="D44" s="108"/>
      <c r="E44" s="108"/>
      <c r="F44" s="120"/>
      <c r="G44" s="96"/>
      <c r="H44" s="97" t="str">
        <f t="shared" si="7"/>
        <v>N/A</v>
      </c>
      <c r="I44" s="97" t="str">
        <f t="shared" si="8"/>
        <v>N/A</v>
      </c>
      <c r="J44" s="105"/>
      <c r="K44" s="105"/>
      <c r="L44" s="99">
        <f t="shared" si="9"/>
        <v>0</v>
      </c>
      <c r="M44" s="104"/>
    </row>
    <row r="45">
      <c r="A45" s="102" t="s">
        <v>472</v>
      </c>
      <c r="B45" s="103"/>
      <c r="C45" s="96"/>
      <c r="D45" s="108"/>
      <c r="E45" s="108"/>
      <c r="F45" s="109"/>
      <c r="G45" s="96"/>
      <c r="H45" s="97" t="str">
        <f t="shared" si="7"/>
        <v>N/A</v>
      </c>
      <c r="I45" s="97" t="str">
        <f t="shared" si="8"/>
        <v>N/A</v>
      </c>
      <c r="J45" s="105"/>
      <c r="K45" s="105"/>
      <c r="L45" s="99">
        <f t="shared" si="9"/>
        <v>0</v>
      </c>
      <c r="M45" s="87"/>
    </row>
    <row r="46">
      <c r="A46" s="102" t="s">
        <v>473</v>
      </c>
      <c r="B46" s="122"/>
      <c r="C46" s="96"/>
      <c r="D46" s="108"/>
      <c r="E46" s="108"/>
      <c r="F46" s="109"/>
      <c r="G46" s="24"/>
      <c r="H46" s="97" t="str">
        <f t="shared" si="7"/>
        <v>N/A</v>
      </c>
      <c r="I46" s="97" t="str">
        <f t="shared" si="8"/>
        <v>N/A</v>
      </c>
      <c r="J46" s="105"/>
      <c r="K46" s="105"/>
      <c r="L46" s="99">
        <f t="shared" si="9"/>
        <v>0</v>
      </c>
      <c r="M46" s="113"/>
    </row>
    <row r="47">
      <c r="A47" s="78"/>
      <c r="B47" s="80"/>
      <c r="C47" s="80"/>
      <c r="D47" s="79"/>
      <c r="E47" s="79"/>
      <c r="F47" s="79"/>
      <c r="G47" s="78"/>
      <c r="H47" s="78"/>
      <c r="I47" s="78"/>
      <c r="J47" s="78"/>
      <c r="K47" s="78"/>
      <c r="L47" s="78"/>
      <c r="M47" s="78"/>
    </row>
    <row r="48">
      <c r="A48" s="78"/>
      <c r="B48" s="80"/>
      <c r="C48" s="80"/>
      <c r="D48" s="79"/>
      <c r="E48" s="79"/>
      <c r="F48" s="79"/>
      <c r="G48" s="78"/>
      <c r="H48" s="78"/>
      <c r="I48" s="78"/>
      <c r="J48" s="78"/>
      <c r="K48" s="78"/>
      <c r="L48" s="78"/>
      <c r="M48" s="78"/>
    </row>
    <row r="49">
      <c r="A49" s="71"/>
      <c r="B49" s="81" t="s">
        <v>423</v>
      </c>
      <c r="C49" s="82"/>
      <c r="D49" s="79"/>
      <c r="E49" s="79"/>
      <c r="F49" s="79"/>
      <c r="G49" s="78"/>
      <c r="H49" s="78"/>
      <c r="I49" s="78"/>
      <c r="J49" s="83"/>
      <c r="K49" s="83"/>
      <c r="L49" s="83"/>
      <c r="M49" s="78"/>
    </row>
    <row r="50">
      <c r="A50" s="71"/>
      <c r="B50" s="81" t="s">
        <v>430</v>
      </c>
      <c r="C50" s="82"/>
      <c r="D50" s="85"/>
      <c r="E50" s="85"/>
      <c r="F50" s="85"/>
      <c r="G50" s="80"/>
      <c r="H50" s="80"/>
      <c r="I50" s="80"/>
      <c r="J50" s="86"/>
      <c r="K50" s="86"/>
      <c r="L50" s="86"/>
      <c r="M50" s="80"/>
    </row>
    <row r="51">
      <c r="A51" s="87"/>
      <c r="B51" s="88" t="s">
        <v>431</v>
      </c>
      <c r="C51" s="89" t="s">
        <v>432</v>
      </c>
      <c r="D51" s="90" t="s">
        <v>433</v>
      </c>
      <c r="E51" s="90" t="s">
        <v>434</v>
      </c>
      <c r="F51" s="91" t="s">
        <v>435</v>
      </c>
      <c r="G51" s="88" t="s">
        <v>12</v>
      </c>
      <c r="H51" s="88" t="s">
        <v>436</v>
      </c>
      <c r="I51" s="88" t="s">
        <v>437</v>
      </c>
      <c r="J51" s="72" t="s">
        <v>474</v>
      </c>
      <c r="K51" s="72" t="s">
        <v>439</v>
      </c>
      <c r="L51" s="72" t="s">
        <v>440</v>
      </c>
      <c r="M51" s="88" t="s">
        <v>441</v>
      </c>
    </row>
    <row r="52">
      <c r="A52" s="102" t="s">
        <v>475</v>
      </c>
      <c r="B52" s="103"/>
      <c r="C52" s="96"/>
      <c r="D52" s="108"/>
      <c r="E52" s="108"/>
      <c r="F52" s="87"/>
      <c r="G52" s="96"/>
      <c r="H52" s="97" t="str">
        <f t="shared" ref="H52:H64" si="10">IF(D52="","N/A",(E52-D52+1))</f>
        <v>N/A</v>
      </c>
      <c r="I52" s="97" t="str">
        <f t="shared" ref="I52:I64" si="11">IF(D52="","N/A",(D52-$M$1))</f>
        <v>N/A</v>
      </c>
      <c r="J52" s="123"/>
      <c r="K52" s="123"/>
      <c r="L52" s="99">
        <f t="shared" ref="L52:L64" si="12">IF(J52="",0,(K52-J52+1))</f>
        <v>0</v>
      </c>
      <c r="M52" s="124"/>
    </row>
    <row r="53">
      <c r="A53" s="102" t="s">
        <v>476</v>
      </c>
      <c r="B53" s="103"/>
      <c r="C53" s="96"/>
      <c r="D53" s="108"/>
      <c r="E53" s="108"/>
      <c r="F53" s="87"/>
      <c r="G53" s="96"/>
      <c r="H53" s="97" t="str">
        <f t="shared" si="10"/>
        <v>N/A</v>
      </c>
      <c r="I53" s="97" t="str">
        <f t="shared" si="11"/>
        <v>N/A</v>
      </c>
      <c r="J53" s="125"/>
      <c r="K53" s="125"/>
      <c r="L53" s="99">
        <f t="shared" si="12"/>
        <v>0</v>
      </c>
      <c r="M53" s="87"/>
    </row>
    <row r="54">
      <c r="A54" s="102" t="s">
        <v>477</v>
      </c>
      <c r="B54" s="103"/>
      <c r="C54" s="96"/>
      <c r="D54" s="108"/>
      <c r="E54" s="108"/>
      <c r="F54" s="87"/>
      <c r="G54" s="96"/>
      <c r="H54" s="97" t="str">
        <f t="shared" si="10"/>
        <v>N/A</v>
      </c>
      <c r="I54" s="97" t="str">
        <f t="shared" si="11"/>
        <v>N/A</v>
      </c>
      <c r="J54" s="125"/>
      <c r="K54" s="125"/>
      <c r="L54" s="99">
        <f t="shared" si="12"/>
        <v>0</v>
      </c>
      <c r="M54" s="87"/>
    </row>
    <row r="55">
      <c r="A55" s="102" t="s">
        <v>478</v>
      </c>
      <c r="B55" s="103"/>
      <c r="C55" s="96"/>
      <c r="D55" s="108"/>
      <c r="E55" s="108"/>
      <c r="F55" s="87"/>
      <c r="G55" s="96"/>
      <c r="H55" s="97" t="str">
        <f t="shared" si="10"/>
        <v>N/A</v>
      </c>
      <c r="I55" s="97" t="str">
        <f t="shared" si="11"/>
        <v>N/A</v>
      </c>
      <c r="J55" s="125"/>
      <c r="K55" s="125"/>
      <c r="L55" s="99">
        <f t="shared" si="12"/>
        <v>0</v>
      </c>
      <c r="M55" s="87"/>
    </row>
    <row r="56">
      <c r="A56" s="102" t="s">
        <v>479</v>
      </c>
      <c r="B56" s="103"/>
      <c r="C56" s="96"/>
      <c r="D56" s="108"/>
      <c r="E56" s="108"/>
      <c r="F56" s="120"/>
      <c r="G56" s="96"/>
      <c r="H56" s="97" t="str">
        <f t="shared" si="10"/>
        <v>N/A</v>
      </c>
      <c r="I56" s="97" t="str">
        <f t="shared" si="11"/>
        <v>N/A</v>
      </c>
      <c r="J56" s="125"/>
      <c r="K56" s="125"/>
      <c r="L56" s="99">
        <f t="shared" si="12"/>
        <v>0</v>
      </c>
      <c r="M56" s="87"/>
    </row>
    <row r="57">
      <c r="A57" s="102" t="s">
        <v>480</v>
      </c>
      <c r="B57" s="103"/>
      <c r="C57" s="96"/>
      <c r="D57" s="108"/>
      <c r="E57" s="108"/>
      <c r="F57" s="120"/>
      <c r="G57" s="96"/>
      <c r="H57" s="97" t="str">
        <f t="shared" si="10"/>
        <v>N/A</v>
      </c>
      <c r="I57" s="97" t="str">
        <f t="shared" si="11"/>
        <v>N/A</v>
      </c>
      <c r="J57" s="125"/>
      <c r="K57" s="125"/>
      <c r="L57" s="99">
        <f t="shared" si="12"/>
        <v>0</v>
      </c>
      <c r="M57" s="87"/>
    </row>
    <row r="58">
      <c r="A58" s="102" t="s">
        <v>481</v>
      </c>
      <c r="B58" s="103"/>
      <c r="C58" s="96"/>
      <c r="D58" s="108"/>
      <c r="E58" s="108"/>
      <c r="F58" s="120"/>
      <c r="G58" s="96"/>
      <c r="H58" s="97" t="str">
        <f t="shared" si="10"/>
        <v>N/A</v>
      </c>
      <c r="I58" s="97" t="str">
        <f t="shared" si="11"/>
        <v>N/A</v>
      </c>
      <c r="J58" s="125"/>
      <c r="K58" s="125"/>
      <c r="L58" s="99">
        <f t="shared" si="12"/>
        <v>0</v>
      </c>
      <c r="M58" s="87"/>
    </row>
    <row r="59">
      <c r="A59" s="102" t="s">
        <v>482</v>
      </c>
      <c r="B59" s="103"/>
      <c r="C59" s="96"/>
      <c r="D59" s="108"/>
      <c r="E59" s="108"/>
      <c r="F59" s="120"/>
      <c r="G59" s="96"/>
      <c r="H59" s="97" t="str">
        <f t="shared" si="10"/>
        <v>N/A</v>
      </c>
      <c r="I59" s="97" t="str">
        <f t="shared" si="11"/>
        <v>N/A</v>
      </c>
      <c r="J59" s="125"/>
      <c r="K59" s="125"/>
      <c r="L59" s="99">
        <f t="shared" si="12"/>
        <v>0</v>
      </c>
      <c r="M59" s="87"/>
    </row>
    <row r="60">
      <c r="A60" s="102" t="s">
        <v>483</v>
      </c>
      <c r="B60" s="103"/>
      <c r="C60" s="96"/>
      <c r="D60" s="108"/>
      <c r="E60" s="108"/>
      <c r="F60" s="120"/>
      <c r="G60" s="96"/>
      <c r="H60" s="97" t="str">
        <f t="shared" si="10"/>
        <v>N/A</v>
      </c>
      <c r="I60" s="97" t="str">
        <f t="shared" si="11"/>
        <v>N/A</v>
      </c>
      <c r="J60" s="125"/>
      <c r="K60" s="126"/>
      <c r="L60" s="112">
        <f t="shared" si="12"/>
        <v>0</v>
      </c>
      <c r="M60" s="113"/>
    </row>
    <row r="61">
      <c r="A61" s="102" t="s">
        <v>484</v>
      </c>
      <c r="B61" s="103"/>
      <c r="C61" s="96"/>
      <c r="D61" s="108"/>
      <c r="E61" s="108"/>
      <c r="F61" s="109"/>
      <c r="G61" s="94"/>
      <c r="H61" s="110" t="str">
        <f t="shared" si="10"/>
        <v>N/A</v>
      </c>
      <c r="I61" s="110" t="str">
        <f t="shared" si="11"/>
        <v>N/A</v>
      </c>
      <c r="J61" s="126"/>
      <c r="K61" s="126"/>
      <c r="L61" s="112">
        <f t="shared" si="12"/>
        <v>0</v>
      </c>
      <c r="M61" s="113"/>
    </row>
    <row r="62">
      <c r="A62" s="102" t="s">
        <v>485</v>
      </c>
      <c r="B62" s="122"/>
      <c r="C62" s="96"/>
      <c r="D62" s="108"/>
      <c r="E62" s="108"/>
      <c r="F62" s="109"/>
      <c r="G62" s="94"/>
      <c r="H62" s="110" t="str">
        <f t="shared" si="10"/>
        <v>N/A</v>
      </c>
      <c r="I62" s="110" t="str">
        <f t="shared" si="11"/>
        <v>N/A</v>
      </c>
      <c r="J62" s="126"/>
      <c r="K62" s="126"/>
      <c r="L62" s="112">
        <f t="shared" si="12"/>
        <v>0</v>
      </c>
      <c r="M62" s="113"/>
    </row>
    <row r="63">
      <c r="A63" s="102" t="s">
        <v>486</v>
      </c>
      <c r="B63" s="122"/>
      <c r="C63" s="96"/>
      <c r="D63" s="108"/>
      <c r="E63" s="108"/>
      <c r="F63" s="109"/>
      <c r="G63" s="94"/>
      <c r="H63" s="110" t="str">
        <f t="shared" si="10"/>
        <v>N/A</v>
      </c>
      <c r="I63" s="110" t="str">
        <f t="shared" si="11"/>
        <v>N/A</v>
      </c>
      <c r="J63" s="126"/>
      <c r="K63" s="126"/>
      <c r="L63" s="112">
        <f t="shared" si="12"/>
        <v>0</v>
      </c>
      <c r="M63" s="113"/>
    </row>
    <row r="64">
      <c r="A64" s="102" t="s">
        <v>487</v>
      </c>
      <c r="B64" s="122"/>
      <c r="C64" s="96"/>
      <c r="D64" s="108"/>
      <c r="E64" s="108"/>
      <c r="F64" s="109"/>
      <c r="G64" s="94"/>
      <c r="H64" s="110" t="str">
        <f t="shared" si="10"/>
        <v>N/A</v>
      </c>
      <c r="I64" s="110" t="str">
        <f t="shared" si="11"/>
        <v>N/A</v>
      </c>
      <c r="J64" s="126"/>
      <c r="K64" s="126"/>
      <c r="L64" s="112">
        <f t="shared" si="12"/>
        <v>0</v>
      </c>
      <c r="M64" s="113"/>
    </row>
    <row r="65">
      <c r="A65" s="78"/>
      <c r="B65" s="80"/>
      <c r="C65" s="80"/>
      <c r="D65" s="79"/>
      <c r="E65" s="79"/>
      <c r="F65" s="79"/>
      <c r="G65" s="78"/>
      <c r="H65" s="78"/>
      <c r="I65" s="78"/>
      <c r="J65" s="78"/>
      <c r="K65" s="78"/>
      <c r="L65" s="78"/>
      <c r="M65" s="78"/>
    </row>
    <row r="66">
      <c r="A66" s="71"/>
      <c r="B66" s="81" t="s">
        <v>423</v>
      </c>
      <c r="C66" s="82"/>
      <c r="D66" s="79"/>
      <c r="E66" s="79"/>
      <c r="F66" s="79"/>
      <c r="G66" s="78"/>
      <c r="H66" s="78"/>
      <c r="I66" s="78"/>
      <c r="J66" s="83"/>
      <c r="K66" s="83"/>
      <c r="L66" s="83"/>
      <c r="M66" s="78"/>
    </row>
    <row r="67">
      <c r="A67" s="71"/>
      <c r="B67" s="81" t="s">
        <v>430</v>
      </c>
      <c r="C67" s="82"/>
      <c r="D67" s="85"/>
      <c r="E67" s="85"/>
      <c r="F67" s="85"/>
      <c r="G67" s="80"/>
      <c r="H67" s="80"/>
      <c r="I67" s="80"/>
      <c r="J67" s="86"/>
      <c r="K67" s="86"/>
      <c r="L67" s="86"/>
      <c r="M67" s="80"/>
    </row>
    <row r="68">
      <c r="A68" s="87"/>
      <c r="B68" s="88" t="s">
        <v>431</v>
      </c>
      <c r="C68" s="89" t="s">
        <v>432</v>
      </c>
      <c r="D68" s="90" t="s">
        <v>433</v>
      </c>
      <c r="E68" s="90" t="s">
        <v>434</v>
      </c>
      <c r="F68" s="91" t="s">
        <v>435</v>
      </c>
      <c r="G68" s="88" t="s">
        <v>12</v>
      </c>
      <c r="H68" s="88" t="s">
        <v>436</v>
      </c>
      <c r="I68" s="88" t="s">
        <v>437</v>
      </c>
      <c r="J68" s="72" t="s">
        <v>438</v>
      </c>
      <c r="K68" s="72" t="s">
        <v>439</v>
      </c>
      <c r="L68" s="72" t="s">
        <v>440</v>
      </c>
      <c r="M68" s="88" t="s">
        <v>441</v>
      </c>
    </row>
    <row r="69">
      <c r="A69" s="102" t="s">
        <v>489</v>
      </c>
      <c r="B69" s="103"/>
      <c r="C69" s="121"/>
      <c r="D69" s="127"/>
      <c r="E69" s="127"/>
      <c r="F69" s="120"/>
      <c r="G69" s="87"/>
      <c r="H69" s="97" t="str">
        <f t="shared" ref="H69:H72" si="13">IF(D69="","N/A",(E69-D69+1))</f>
        <v>N/A</v>
      </c>
      <c r="I69" s="97" t="str">
        <f>IF(D69="","N/A",(D69-'Community Work Plan - Uganda '!$M$1))</f>
        <v>N/A</v>
      </c>
      <c r="J69" s="98"/>
      <c r="K69" s="98"/>
      <c r="L69" s="99">
        <f t="shared" ref="L69:L74" si="14">IF(J69="",0,(K69-J69+1))</f>
        <v>0</v>
      </c>
      <c r="M69" s="104"/>
    </row>
    <row r="70">
      <c r="A70" s="102" t="s">
        <v>491</v>
      </c>
      <c r="B70" s="103"/>
      <c r="C70" s="121"/>
      <c r="D70" s="127"/>
      <c r="E70" s="127"/>
      <c r="F70" s="120"/>
      <c r="G70" s="87"/>
      <c r="H70" s="97" t="str">
        <f t="shared" si="13"/>
        <v>N/A</v>
      </c>
      <c r="I70" s="97" t="str">
        <f>IF(D70="","N/A",(D70-'Community Work Plan - Uganda '!$M$1))</f>
        <v>N/A</v>
      </c>
      <c r="J70" s="98"/>
      <c r="K70" s="98"/>
      <c r="L70" s="99">
        <f t="shared" si="14"/>
        <v>0</v>
      </c>
      <c r="M70" s="104"/>
    </row>
    <row r="71">
      <c r="A71" s="102" t="s">
        <v>493</v>
      </c>
      <c r="B71" s="103"/>
      <c r="C71" s="121"/>
      <c r="D71" s="127"/>
      <c r="E71" s="127"/>
      <c r="F71" s="120"/>
      <c r="G71" s="87"/>
      <c r="H71" s="97" t="str">
        <f t="shared" si="13"/>
        <v>N/A</v>
      </c>
      <c r="I71" s="97" t="str">
        <f>IF(D71="","N/A",(D71-'Community Work Plan - Uganda '!$M$1))</f>
        <v>N/A</v>
      </c>
      <c r="J71" s="98"/>
      <c r="K71" s="98"/>
      <c r="L71" s="99">
        <f t="shared" si="14"/>
        <v>0</v>
      </c>
      <c r="M71" s="124"/>
    </row>
    <row r="72">
      <c r="A72" s="102" t="s">
        <v>495</v>
      </c>
      <c r="B72" s="103"/>
      <c r="C72" s="121"/>
      <c r="D72" s="127"/>
      <c r="E72" s="127"/>
      <c r="F72" s="120"/>
      <c r="G72" s="87"/>
      <c r="H72" s="97" t="str">
        <f t="shared" si="13"/>
        <v>N/A</v>
      </c>
      <c r="I72" s="97" t="str">
        <f>IF(D72="","N/A",(D72-'Community Work Plan - Uganda '!$M$1))</f>
        <v>N/A</v>
      </c>
      <c r="J72" s="98"/>
      <c r="K72" s="98"/>
      <c r="L72" s="99">
        <f t="shared" si="14"/>
        <v>0</v>
      </c>
      <c r="M72" s="104"/>
    </row>
    <row r="73">
      <c r="A73" s="102"/>
      <c r="B73" s="103"/>
      <c r="C73" s="121"/>
      <c r="D73" s="127"/>
      <c r="E73" s="127"/>
      <c r="F73" s="120"/>
      <c r="G73" s="87"/>
      <c r="H73" s="97"/>
      <c r="I73" s="97"/>
      <c r="J73" s="128"/>
      <c r="K73" s="128"/>
      <c r="L73" s="99">
        <f t="shared" si="14"/>
        <v>0</v>
      </c>
      <c r="M73" s="124"/>
    </row>
    <row r="74">
      <c r="A74" s="102" t="s">
        <v>497</v>
      </c>
      <c r="B74" s="103"/>
      <c r="C74" s="121"/>
      <c r="D74" s="127"/>
      <c r="E74" s="127"/>
      <c r="F74" s="120"/>
      <c r="G74" s="87"/>
      <c r="H74" s="97" t="str">
        <f>IF(D74="","N/A",(E74-D74+1))</f>
        <v>N/A</v>
      </c>
      <c r="I74" s="97" t="str">
        <f>IF(D74="","N/A",(D74-'Community Work Plan - Uganda '!$M$1))</f>
        <v>N/A</v>
      </c>
      <c r="J74" s="128"/>
      <c r="K74" s="128"/>
      <c r="L74" s="99">
        <f t="shared" si="14"/>
        <v>0</v>
      </c>
      <c r="M74" s="104"/>
    </row>
    <row r="75">
      <c r="A75" s="78"/>
      <c r="B75" s="80"/>
      <c r="C75" s="80"/>
      <c r="D75" s="79"/>
      <c r="E75" s="79"/>
      <c r="F75" s="79"/>
      <c r="G75" s="78"/>
      <c r="H75" s="78"/>
      <c r="I75" s="78"/>
      <c r="J75" s="78"/>
      <c r="K75" s="78"/>
      <c r="L75" s="78"/>
      <c r="M75" s="78"/>
    </row>
    <row r="76">
      <c r="A76" s="78"/>
      <c r="B76" s="78"/>
      <c r="C76" s="78"/>
      <c r="D76" s="79"/>
      <c r="E76" s="79"/>
      <c r="F76" s="79"/>
      <c r="G76" s="78"/>
      <c r="H76" s="78"/>
      <c r="I76" s="78"/>
      <c r="J76" s="78"/>
      <c r="K76" s="78"/>
      <c r="L76" s="78"/>
      <c r="M76" s="78"/>
    </row>
    <row r="77">
      <c r="A77" s="78"/>
      <c r="B77" s="80"/>
      <c r="C77" s="80"/>
      <c r="D77" s="79"/>
      <c r="E77" s="79"/>
      <c r="F77" s="79"/>
      <c r="G77" s="78"/>
      <c r="H77" s="78"/>
      <c r="I77" s="78"/>
      <c r="J77" s="78"/>
      <c r="K77" s="78"/>
      <c r="L77" s="78"/>
      <c r="M77" s="78"/>
    </row>
    <row r="78">
      <c r="A78" s="71"/>
      <c r="B78" s="81" t="s">
        <v>423</v>
      </c>
      <c r="C78" s="82"/>
      <c r="D78" s="24"/>
      <c r="E78" s="79"/>
      <c r="F78" s="79"/>
      <c r="G78" s="78"/>
      <c r="H78" s="78"/>
      <c r="I78" s="78"/>
      <c r="J78" s="83"/>
      <c r="K78" s="83"/>
      <c r="L78" s="83"/>
      <c r="M78" s="78"/>
    </row>
    <row r="79">
      <c r="A79" s="71"/>
      <c r="B79" s="81" t="s">
        <v>430</v>
      </c>
      <c r="C79" s="82"/>
      <c r="D79" s="85"/>
      <c r="E79" s="85"/>
      <c r="F79" s="85"/>
      <c r="G79" s="80"/>
      <c r="H79" s="80"/>
      <c r="I79" s="80"/>
      <c r="J79" s="86"/>
      <c r="K79" s="86"/>
      <c r="L79" s="86"/>
      <c r="M79" s="80"/>
    </row>
    <row r="80">
      <c r="A80" s="87"/>
      <c r="B80" s="131" t="s">
        <v>431</v>
      </c>
      <c r="C80" s="89" t="s">
        <v>432</v>
      </c>
      <c r="D80" s="90" t="s">
        <v>433</v>
      </c>
      <c r="E80" s="90" t="s">
        <v>434</v>
      </c>
      <c r="F80" s="91" t="s">
        <v>435</v>
      </c>
      <c r="G80" s="88" t="s">
        <v>12</v>
      </c>
      <c r="H80" s="88" t="s">
        <v>436</v>
      </c>
      <c r="I80" s="88" t="s">
        <v>437</v>
      </c>
      <c r="J80" s="72" t="s">
        <v>438</v>
      </c>
      <c r="K80" s="72" t="s">
        <v>439</v>
      </c>
      <c r="L80" s="72" t="s">
        <v>440</v>
      </c>
      <c r="M80" s="88" t="s">
        <v>441</v>
      </c>
    </row>
    <row r="81">
      <c r="A81" s="102" t="s">
        <v>498</v>
      </c>
      <c r="B81" s="132"/>
      <c r="C81" s="87"/>
      <c r="D81" s="127"/>
      <c r="E81" s="127"/>
      <c r="F81" s="120"/>
      <c r="G81" s="87"/>
      <c r="H81" s="97" t="str">
        <f t="shared" ref="H81:H84" si="15">IF(D81="","N/A",(E81-D81+1))</f>
        <v>N/A</v>
      </c>
      <c r="I81" s="97" t="str">
        <f>IF(D81="","N/A",(D81-'Community Work Plan - Uganda '!$M$1))</f>
        <v>N/A</v>
      </c>
      <c r="J81" s="105"/>
      <c r="K81" s="105"/>
      <c r="L81" s="99">
        <f t="shared" ref="L81:L84" si="16">IFs(J81="",0,K81="",0,K81&lt;&gt;"",(K81-J81+1))</f>
        <v>0</v>
      </c>
      <c r="M81" s="87"/>
    </row>
    <row r="82">
      <c r="A82" s="102" t="s">
        <v>499</v>
      </c>
      <c r="B82" s="103"/>
      <c r="C82" s="87"/>
      <c r="D82" s="127"/>
      <c r="E82" s="127"/>
      <c r="F82" s="120"/>
      <c r="G82" s="87"/>
      <c r="H82" s="97" t="str">
        <f t="shared" si="15"/>
        <v>N/A</v>
      </c>
      <c r="I82" s="97" t="str">
        <f>IF(D82="","N/A",(D82-'Community Work Plan - Uganda '!$M$1))</f>
        <v>N/A</v>
      </c>
      <c r="J82" s="105"/>
      <c r="K82" s="105"/>
      <c r="L82" s="99">
        <f t="shared" si="16"/>
        <v>0</v>
      </c>
      <c r="M82" s="87"/>
    </row>
    <row r="83">
      <c r="A83" s="102" t="s">
        <v>500</v>
      </c>
      <c r="B83" s="103"/>
      <c r="C83" s="87"/>
      <c r="D83" s="127"/>
      <c r="E83" s="127"/>
      <c r="F83" s="120"/>
      <c r="G83" s="87"/>
      <c r="H83" s="97" t="str">
        <f t="shared" si="15"/>
        <v>N/A</v>
      </c>
      <c r="I83" s="97" t="str">
        <f>IF(D83="","N/A",(D83-'Community Work Plan - Uganda '!$M$1))</f>
        <v>N/A</v>
      </c>
      <c r="J83" s="105"/>
      <c r="K83" s="105"/>
      <c r="L83" s="99">
        <f t="shared" si="16"/>
        <v>0</v>
      </c>
      <c r="M83" s="87"/>
    </row>
    <row r="84">
      <c r="A84" s="102" t="s">
        <v>501</v>
      </c>
      <c r="B84" s="103"/>
      <c r="C84" s="87"/>
      <c r="D84" s="127"/>
      <c r="E84" s="127"/>
      <c r="F84" s="120"/>
      <c r="G84" s="87"/>
      <c r="H84" s="97" t="str">
        <f t="shared" si="15"/>
        <v>N/A</v>
      </c>
      <c r="I84" s="97" t="str">
        <f>IF(D84="","N/A",(D84-'Community Work Plan - Uganda '!$M$1))</f>
        <v>N/A</v>
      </c>
      <c r="J84" s="105"/>
      <c r="K84" s="105"/>
      <c r="L84" s="99">
        <f t="shared" si="16"/>
        <v>0</v>
      </c>
      <c r="M84" s="87"/>
    </row>
    <row r="85">
      <c r="A85" s="78"/>
      <c r="B85" s="78"/>
      <c r="C85" s="78"/>
      <c r="D85" s="79"/>
      <c r="E85" s="79"/>
      <c r="F85" s="79"/>
      <c r="G85" s="78"/>
      <c r="H85" s="78"/>
      <c r="I85" s="78"/>
      <c r="J85" s="78"/>
      <c r="K85" s="78"/>
      <c r="L85" s="78"/>
      <c r="M85" s="78"/>
    </row>
    <row r="86">
      <c r="A86" s="78"/>
      <c r="B86" s="80"/>
      <c r="C86" s="80"/>
      <c r="D86" s="79"/>
      <c r="E86" s="79"/>
      <c r="F86" s="79"/>
      <c r="G86" s="78"/>
      <c r="H86" s="78"/>
      <c r="I86" s="78"/>
      <c r="J86" s="78"/>
      <c r="K86" s="78"/>
      <c r="L86" s="78"/>
      <c r="M86" s="78"/>
    </row>
    <row r="87">
      <c r="A87" s="71"/>
      <c r="B87" s="81" t="s">
        <v>423</v>
      </c>
      <c r="C87" s="82"/>
      <c r="D87" s="79"/>
      <c r="E87" s="79"/>
      <c r="F87" s="79"/>
      <c r="G87" s="78"/>
      <c r="H87" s="78"/>
      <c r="I87" s="78"/>
      <c r="J87" s="83"/>
      <c r="K87" s="83"/>
      <c r="L87" s="83"/>
      <c r="M87" s="78"/>
    </row>
    <row r="88">
      <c r="A88" s="71"/>
      <c r="B88" s="81" t="s">
        <v>430</v>
      </c>
      <c r="C88" s="89"/>
      <c r="D88" s="85"/>
      <c r="E88" s="85"/>
      <c r="F88" s="85"/>
      <c r="G88" s="80"/>
      <c r="H88" s="80"/>
      <c r="I88" s="80"/>
      <c r="J88" s="86"/>
      <c r="K88" s="86"/>
      <c r="L88" s="86"/>
      <c r="M88" s="80"/>
    </row>
    <row r="89">
      <c r="A89" s="87"/>
      <c r="B89" s="131" t="s">
        <v>431</v>
      </c>
      <c r="C89" s="89" t="s">
        <v>432</v>
      </c>
      <c r="D89" s="90" t="s">
        <v>433</v>
      </c>
      <c r="E89" s="90" t="s">
        <v>434</v>
      </c>
      <c r="F89" s="91" t="s">
        <v>435</v>
      </c>
      <c r="G89" s="88" t="s">
        <v>12</v>
      </c>
      <c r="H89" s="88" t="s">
        <v>436</v>
      </c>
      <c r="I89" s="88" t="s">
        <v>437</v>
      </c>
      <c r="J89" s="72" t="s">
        <v>438</v>
      </c>
      <c r="K89" s="72" t="s">
        <v>439</v>
      </c>
      <c r="L89" s="72" t="s">
        <v>440</v>
      </c>
      <c r="M89" s="88" t="s">
        <v>441</v>
      </c>
    </row>
    <row r="90">
      <c r="A90" s="102" t="s">
        <v>502</v>
      </c>
      <c r="B90" s="133"/>
      <c r="C90" s="87"/>
      <c r="D90" s="120"/>
      <c r="E90" s="134"/>
      <c r="F90" s="120"/>
      <c r="G90" s="87"/>
      <c r="H90" s="97" t="str">
        <f t="shared" ref="H90:H94" si="17">IF(D90="","N/A",(E90-D90+1))</f>
        <v>N/A</v>
      </c>
      <c r="I90" s="97" t="str">
        <f>IF(D90="","N/A",(D90-'Community Work Plan - Uganda '!$M$1))</f>
        <v>N/A</v>
      </c>
      <c r="J90" s="99"/>
      <c r="K90" s="99"/>
      <c r="L90" s="99">
        <f t="shared" ref="L90:L94" si="18">IF(J90="",0,(K90-J90+1))</f>
        <v>0</v>
      </c>
      <c r="M90" s="87"/>
    </row>
    <row r="91">
      <c r="A91" s="102" t="s">
        <v>503</v>
      </c>
      <c r="B91" s="124"/>
      <c r="C91" s="87"/>
      <c r="D91" s="120"/>
      <c r="E91" s="120"/>
      <c r="F91" s="120"/>
      <c r="G91" s="87"/>
      <c r="H91" s="97" t="str">
        <f t="shared" si="17"/>
        <v>N/A</v>
      </c>
      <c r="I91" s="97" t="str">
        <f>IF(D91="","N/A",(D91-'Community Work Plan - Uganda '!$M$1))</f>
        <v>N/A</v>
      </c>
      <c r="J91" s="105"/>
      <c r="K91" s="105"/>
      <c r="L91" s="99">
        <f t="shared" si="18"/>
        <v>0</v>
      </c>
      <c r="M91" s="87"/>
    </row>
    <row r="92">
      <c r="A92" s="102" t="s">
        <v>504</v>
      </c>
      <c r="B92" s="124"/>
      <c r="C92" s="87"/>
      <c r="D92" s="120"/>
      <c r="E92" s="120"/>
      <c r="F92" s="120"/>
      <c r="G92" s="87"/>
      <c r="H92" s="97" t="str">
        <f t="shared" si="17"/>
        <v>N/A</v>
      </c>
      <c r="I92" s="97" t="str">
        <f>IF(D92="","N/A",(D92-'Community Work Plan - Uganda '!$M$1))</f>
        <v>N/A</v>
      </c>
      <c r="J92" s="105"/>
      <c r="K92" s="105"/>
      <c r="L92" s="99">
        <f t="shared" si="18"/>
        <v>0</v>
      </c>
      <c r="M92" s="87"/>
    </row>
    <row r="93">
      <c r="A93" s="102" t="s">
        <v>505</v>
      </c>
      <c r="B93" s="124"/>
      <c r="C93" s="87"/>
      <c r="D93" s="120"/>
      <c r="E93" s="120"/>
      <c r="F93" s="120"/>
      <c r="G93" s="87"/>
      <c r="H93" s="97" t="str">
        <f t="shared" si="17"/>
        <v>N/A</v>
      </c>
      <c r="I93" s="97" t="str">
        <f>IF(D93="","N/A",(D93-'Community Work Plan - Uganda '!$M$1))</f>
        <v>N/A</v>
      </c>
      <c r="J93" s="105"/>
      <c r="K93" s="105"/>
      <c r="L93" s="99">
        <f t="shared" si="18"/>
        <v>0</v>
      </c>
      <c r="M93" s="87"/>
    </row>
    <row r="94">
      <c r="A94" s="102" t="s">
        <v>506</v>
      </c>
      <c r="B94" s="124"/>
      <c r="C94" s="87"/>
      <c r="D94" s="120"/>
      <c r="E94" s="134"/>
      <c r="F94" s="120"/>
      <c r="G94" s="87"/>
      <c r="H94" s="97" t="str">
        <f t="shared" si="17"/>
        <v>N/A</v>
      </c>
      <c r="I94" s="97" t="str">
        <f>IF(D94="","N/A",(D94-'Community Work Plan - Uganda '!$M$1))</f>
        <v>N/A</v>
      </c>
      <c r="J94" s="105"/>
      <c r="K94" s="105"/>
      <c r="L94" s="99">
        <f t="shared" si="18"/>
        <v>0</v>
      </c>
      <c r="M94" s="87"/>
    </row>
  </sheetData>
  <mergeCells count="1">
    <mergeCell ref="A1:L1"/>
  </mergeCells>
  <dataValidations>
    <dataValidation type="custom" allowBlank="1" showDropDown="1" showInputMessage="1" showErrorMessage="1" prompt="Enter a valid date" sqref="E69:E74 E81:E84">
      <formula1>OR(NOT(ISERROR(DATEVALUE(E69))), AND(ISNUMBER(E69), LEFT(CELL("format", E69))="D"))</formula1>
    </dataValidation>
    <dataValidation type="date" operator="greaterThanOrEqual" allowBlank="1" showDropDown="1" showInputMessage="1" showErrorMessage="1" prompt="Enter a date on or after 02/27/2023" sqref="D8:E16 J8:K16 D22:E34 J22:K34 D39:E46 J39:K46 D52:E64 J52:K64 D69:D74 J69:K74 D81:D84 J81:K84 D90:D91 D92:E92 D93:D94 J90:K94">
      <formula1>44984.0</formula1>
    </dataValidation>
    <dataValidation type="list" allowBlank="1" showErrorMessage="1" sqref="G8:G16 G22:G34 G39:G46 G52:G64 G69:G74 G81:G84 G90:G94">
      <formula1>"Scheduled,In Progress-On Time,In Progress-Delayed,Not Started-Delayed,Completed-On Schedule,Completed-Delayed"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88"/>
    <col customWidth="1" min="6" max="6" width="16.38"/>
    <col customWidth="1" min="8" max="8" width="16.75"/>
    <col customWidth="1" min="12" max="12" width="15.5"/>
    <col customWidth="1" min="13" max="13" width="14.25"/>
  </cols>
  <sheetData>
    <row r="1">
      <c r="A1" s="67" t="s">
        <v>466</v>
      </c>
      <c r="B1" s="68"/>
      <c r="C1" s="68"/>
      <c r="D1" s="68"/>
      <c r="E1" s="68"/>
      <c r="F1" s="68"/>
      <c r="G1" s="68"/>
      <c r="H1" s="68"/>
      <c r="I1" s="68"/>
      <c r="J1" s="68"/>
      <c r="K1" s="68"/>
      <c r="L1" s="69"/>
      <c r="M1" s="70">
        <f>TODAY()</f>
        <v>46325</v>
      </c>
    </row>
    <row r="2">
      <c r="A2" s="71"/>
      <c r="B2" s="72" t="s">
        <v>411</v>
      </c>
      <c r="C2" s="73" t="s">
        <v>413</v>
      </c>
      <c r="D2" s="74"/>
      <c r="E2" s="75" t="s">
        <v>416</v>
      </c>
      <c r="F2" s="76" t="s">
        <v>420</v>
      </c>
      <c r="G2" s="71"/>
      <c r="H2" s="75" t="s">
        <v>421</v>
      </c>
      <c r="I2" s="77" t="s">
        <v>422</v>
      </c>
      <c r="J2" s="78"/>
      <c r="K2" s="78"/>
      <c r="L2" s="78"/>
      <c r="M2" s="78"/>
    </row>
    <row r="3">
      <c r="A3" s="78"/>
      <c r="B3" s="78"/>
      <c r="C3" s="78"/>
      <c r="D3" s="79"/>
      <c r="E3" s="79"/>
      <c r="F3" s="79"/>
      <c r="G3" s="78"/>
      <c r="H3" s="78"/>
      <c r="I3" s="78"/>
      <c r="J3" s="78"/>
      <c r="K3" s="78"/>
      <c r="L3" s="78"/>
      <c r="M3" s="78"/>
    </row>
    <row r="4">
      <c r="A4" s="78"/>
      <c r="B4" s="80"/>
      <c r="C4" s="80"/>
      <c r="D4" s="79"/>
      <c r="E4" s="79"/>
      <c r="F4" s="79"/>
      <c r="G4" s="78"/>
      <c r="H4" s="78"/>
      <c r="I4" s="78"/>
      <c r="J4" s="78"/>
      <c r="K4" s="78"/>
      <c r="L4" s="78"/>
      <c r="M4" s="78"/>
    </row>
    <row r="5">
      <c r="A5" s="71"/>
      <c r="B5" s="81" t="s">
        <v>423</v>
      </c>
      <c r="C5" s="82"/>
      <c r="D5" s="79"/>
      <c r="E5" s="79"/>
      <c r="F5" s="79"/>
      <c r="G5" s="78"/>
      <c r="H5" s="78"/>
      <c r="I5" s="78"/>
      <c r="J5" s="83"/>
      <c r="K5" s="83"/>
      <c r="L5" s="83"/>
      <c r="M5" s="78"/>
    </row>
    <row r="6">
      <c r="A6" s="71"/>
      <c r="B6" s="81" t="s">
        <v>430</v>
      </c>
      <c r="C6" s="82"/>
      <c r="D6" s="84"/>
      <c r="E6" s="85"/>
      <c r="F6" s="85"/>
      <c r="G6" s="80"/>
      <c r="H6" s="80"/>
      <c r="I6" s="80"/>
      <c r="J6" s="86"/>
      <c r="K6" s="86"/>
      <c r="L6" s="86"/>
      <c r="M6" s="80"/>
    </row>
    <row r="7">
      <c r="A7" s="87"/>
      <c r="B7" s="88" t="s">
        <v>431</v>
      </c>
      <c r="C7" s="89" t="s">
        <v>432</v>
      </c>
      <c r="D7" s="90" t="s">
        <v>433</v>
      </c>
      <c r="E7" s="90" t="s">
        <v>434</v>
      </c>
      <c r="F7" s="91" t="s">
        <v>435</v>
      </c>
      <c r="G7" s="88" t="s">
        <v>12</v>
      </c>
      <c r="H7" s="88" t="s">
        <v>436</v>
      </c>
      <c r="I7" s="88" t="s">
        <v>437</v>
      </c>
      <c r="J7" s="72" t="s">
        <v>438</v>
      </c>
      <c r="K7" s="72" t="s">
        <v>439</v>
      </c>
      <c r="L7" s="72" t="s">
        <v>440</v>
      </c>
      <c r="M7" s="88" t="s">
        <v>441</v>
      </c>
    </row>
    <row r="8">
      <c r="A8" s="92"/>
      <c r="B8" s="93"/>
      <c r="C8" s="94"/>
      <c r="D8" s="95"/>
      <c r="E8" s="95"/>
      <c r="F8" s="87"/>
      <c r="G8" s="96" t="s">
        <v>442</v>
      </c>
      <c r="H8" s="97" t="str">
        <f t="shared" ref="H8:H16" si="1">IF(D8="","N/A",(E8-D8+1))</f>
        <v>N/A</v>
      </c>
      <c r="I8" s="97" t="str">
        <f t="shared" ref="I8:I16" si="2">IF(D8="","N/A",(D8-$M$1))</f>
        <v>N/A</v>
      </c>
      <c r="J8" s="98"/>
      <c r="K8" s="98"/>
      <c r="L8" s="99">
        <f t="shared" ref="L8:L16" si="3">IF(J8="",0,(K8-J8+1))</f>
        <v>0</v>
      </c>
      <c r="M8" s="100"/>
    </row>
    <row r="9">
      <c r="A9" s="92" t="s">
        <v>443</v>
      </c>
      <c r="B9" s="101"/>
      <c r="C9" s="94"/>
      <c r="D9" s="95"/>
      <c r="E9" s="95"/>
      <c r="F9" s="87"/>
      <c r="G9" s="96" t="s">
        <v>442</v>
      </c>
      <c r="H9" s="97" t="str">
        <f t="shared" si="1"/>
        <v>N/A</v>
      </c>
      <c r="I9" s="97" t="str">
        <f t="shared" si="2"/>
        <v>N/A</v>
      </c>
      <c r="J9" s="98"/>
      <c r="K9" s="98"/>
      <c r="L9" s="99">
        <f t="shared" si="3"/>
        <v>0</v>
      </c>
      <c r="M9" s="100"/>
    </row>
    <row r="10">
      <c r="A10" s="102" t="s">
        <v>444</v>
      </c>
      <c r="B10" s="103"/>
      <c r="C10" s="96"/>
      <c r="D10" s="95"/>
      <c r="E10" s="95"/>
      <c r="F10" s="87"/>
      <c r="G10" s="96" t="s">
        <v>442</v>
      </c>
      <c r="H10" s="97" t="str">
        <f t="shared" si="1"/>
        <v>N/A</v>
      </c>
      <c r="I10" s="97" t="str">
        <f t="shared" si="2"/>
        <v>N/A</v>
      </c>
      <c r="J10" s="98"/>
      <c r="K10" s="98"/>
      <c r="L10" s="99">
        <f t="shared" si="3"/>
        <v>0</v>
      </c>
      <c r="M10" s="100"/>
    </row>
    <row r="11">
      <c r="A11" s="102" t="s">
        <v>445</v>
      </c>
      <c r="B11" s="103"/>
      <c r="C11" s="96"/>
      <c r="D11" s="95"/>
      <c r="E11" s="95"/>
      <c r="F11" s="87"/>
      <c r="G11" s="96" t="s">
        <v>442</v>
      </c>
      <c r="H11" s="97" t="str">
        <f t="shared" si="1"/>
        <v>N/A</v>
      </c>
      <c r="I11" s="97" t="str">
        <f t="shared" si="2"/>
        <v>N/A</v>
      </c>
      <c r="J11" s="98"/>
      <c r="K11" s="98"/>
      <c r="L11" s="99">
        <f t="shared" si="3"/>
        <v>0</v>
      </c>
      <c r="M11" s="100"/>
    </row>
    <row r="12">
      <c r="A12" s="102" t="s">
        <v>446</v>
      </c>
      <c r="B12" s="103"/>
      <c r="C12" s="96"/>
      <c r="D12" s="95"/>
      <c r="E12" s="95"/>
      <c r="F12" s="87"/>
      <c r="G12" s="96" t="s">
        <v>442</v>
      </c>
      <c r="H12" s="97" t="str">
        <f t="shared" si="1"/>
        <v>N/A</v>
      </c>
      <c r="I12" s="97" t="str">
        <f t="shared" si="2"/>
        <v>N/A</v>
      </c>
      <c r="J12" s="98"/>
      <c r="K12" s="98"/>
      <c r="L12" s="99">
        <f t="shared" si="3"/>
        <v>0</v>
      </c>
      <c r="M12" s="104"/>
    </row>
    <row r="13">
      <c r="A13" s="102" t="s">
        <v>447</v>
      </c>
      <c r="B13" s="103"/>
      <c r="C13" s="96"/>
      <c r="D13" s="95"/>
      <c r="E13" s="95"/>
      <c r="F13" s="87"/>
      <c r="G13" s="96" t="s">
        <v>442</v>
      </c>
      <c r="H13" s="97" t="str">
        <f t="shared" si="1"/>
        <v>N/A</v>
      </c>
      <c r="I13" s="97" t="str">
        <f t="shared" si="2"/>
        <v>N/A</v>
      </c>
      <c r="J13" s="98"/>
      <c r="K13" s="98"/>
      <c r="L13" s="99">
        <f t="shared" si="3"/>
        <v>0</v>
      </c>
      <c r="M13" s="104"/>
    </row>
    <row r="14">
      <c r="A14" s="102" t="s">
        <v>448</v>
      </c>
      <c r="B14" s="103"/>
      <c r="C14" s="96"/>
      <c r="D14" s="95"/>
      <c r="E14" s="95"/>
      <c r="F14" s="87"/>
      <c r="G14" s="96" t="s">
        <v>442</v>
      </c>
      <c r="H14" s="97" t="str">
        <f t="shared" si="1"/>
        <v>N/A</v>
      </c>
      <c r="I14" s="97" t="str">
        <f t="shared" si="2"/>
        <v>N/A</v>
      </c>
      <c r="J14" s="105"/>
      <c r="K14" s="105"/>
      <c r="L14" s="99">
        <f t="shared" si="3"/>
        <v>0</v>
      </c>
      <c r="M14" s="104"/>
    </row>
    <row r="15">
      <c r="A15" s="102" t="s">
        <v>449</v>
      </c>
      <c r="B15" s="103"/>
      <c r="C15" s="96"/>
      <c r="D15" s="95"/>
      <c r="E15" s="95"/>
      <c r="F15" s="87"/>
      <c r="G15" s="87" t="s">
        <v>450</v>
      </c>
      <c r="H15" s="97" t="str">
        <f t="shared" si="1"/>
        <v>N/A</v>
      </c>
      <c r="I15" s="97" t="str">
        <f t="shared" si="2"/>
        <v>N/A</v>
      </c>
      <c r="J15" s="105"/>
      <c r="K15" s="105"/>
      <c r="L15" s="99">
        <f t="shared" si="3"/>
        <v>0</v>
      </c>
      <c r="M15" s="104"/>
    </row>
    <row r="16">
      <c r="A16" s="102" t="s">
        <v>451</v>
      </c>
      <c r="B16" s="103"/>
      <c r="C16" s="96"/>
      <c r="D16" s="95"/>
      <c r="E16" s="95"/>
      <c r="F16" s="87"/>
      <c r="G16" s="87" t="s">
        <v>450</v>
      </c>
      <c r="H16" s="97" t="str">
        <f t="shared" si="1"/>
        <v>N/A</v>
      </c>
      <c r="I16" s="97" t="str">
        <f t="shared" si="2"/>
        <v>N/A</v>
      </c>
      <c r="J16" s="105"/>
      <c r="K16" s="105"/>
      <c r="L16" s="99">
        <f t="shared" si="3"/>
        <v>0</v>
      </c>
      <c r="M16" s="87"/>
    </row>
    <row r="17">
      <c r="A17" s="78"/>
      <c r="B17" s="78"/>
      <c r="C17" s="78"/>
      <c r="D17" s="79"/>
      <c r="E17" s="79"/>
      <c r="F17" s="79"/>
      <c r="G17" s="78"/>
      <c r="H17" s="78"/>
      <c r="I17" s="78"/>
      <c r="J17" s="78"/>
      <c r="K17" s="78"/>
      <c r="L17" s="78"/>
      <c r="M17" s="78"/>
    </row>
    <row r="18">
      <c r="A18" s="78"/>
      <c r="B18" s="80"/>
      <c r="C18" s="80"/>
      <c r="D18" s="79"/>
      <c r="E18" s="79"/>
      <c r="F18" s="79"/>
      <c r="G18" s="78"/>
      <c r="H18" s="78"/>
      <c r="I18" s="78"/>
      <c r="J18" s="78"/>
      <c r="K18" s="78"/>
      <c r="L18" s="78"/>
      <c r="M18" s="78"/>
    </row>
    <row r="19">
      <c r="A19" s="71"/>
      <c r="B19" s="81" t="s">
        <v>423</v>
      </c>
      <c r="C19" s="82"/>
      <c r="D19" s="79"/>
      <c r="E19" s="79"/>
      <c r="F19" s="79"/>
      <c r="G19" s="78"/>
      <c r="H19" s="78"/>
      <c r="I19" s="78"/>
      <c r="J19" s="83"/>
      <c r="K19" s="83"/>
      <c r="L19" s="83"/>
      <c r="M19" s="106"/>
    </row>
    <row r="20">
      <c r="A20" s="71"/>
      <c r="B20" s="81" t="s">
        <v>430</v>
      </c>
      <c r="C20" s="107"/>
      <c r="D20" s="85"/>
      <c r="E20" s="85"/>
      <c r="F20" s="85"/>
      <c r="G20" s="80"/>
      <c r="H20" s="80"/>
      <c r="I20" s="80"/>
      <c r="J20" s="86"/>
      <c r="K20" s="86"/>
      <c r="L20" s="86"/>
      <c r="M20" s="80"/>
    </row>
    <row r="21">
      <c r="A21" s="87"/>
      <c r="B21" s="88" t="s">
        <v>431</v>
      </c>
      <c r="C21" s="89" t="s">
        <v>432</v>
      </c>
      <c r="D21" s="90" t="s">
        <v>433</v>
      </c>
      <c r="E21" s="90" t="s">
        <v>434</v>
      </c>
      <c r="F21" s="91" t="s">
        <v>435</v>
      </c>
      <c r="G21" s="88" t="s">
        <v>12</v>
      </c>
      <c r="H21" s="88" t="s">
        <v>436</v>
      </c>
      <c r="I21" s="88" t="s">
        <v>437</v>
      </c>
      <c r="J21" s="72" t="s">
        <v>438</v>
      </c>
      <c r="K21" s="72" t="s">
        <v>439</v>
      </c>
      <c r="L21" s="72" t="s">
        <v>440</v>
      </c>
      <c r="M21" s="88" t="s">
        <v>441</v>
      </c>
    </row>
    <row r="22">
      <c r="A22" s="102" t="s">
        <v>452</v>
      </c>
      <c r="B22" s="101"/>
      <c r="C22" s="94"/>
      <c r="D22" s="108"/>
      <c r="E22" s="108"/>
      <c r="F22" s="109"/>
      <c r="G22" s="94" t="s">
        <v>442</v>
      </c>
      <c r="H22" s="110" t="str">
        <f t="shared" ref="H22:H34" si="4">IF(D22="","N/A",(E22-D22+1))</f>
        <v>N/A</v>
      </c>
      <c r="I22" s="110" t="str">
        <f t="shared" ref="I22:I34" si="5">IF(D22="","N/A",(D22-$M$1))</f>
        <v>N/A</v>
      </c>
      <c r="J22" s="111"/>
      <c r="K22" s="111"/>
      <c r="L22" s="112">
        <f t="shared" ref="L22:L34" si="6">IF(J22="",0,(K22-J22+1))</f>
        <v>0</v>
      </c>
      <c r="M22" s="113"/>
    </row>
    <row r="23">
      <c r="A23" s="102" t="s">
        <v>453</v>
      </c>
      <c r="B23" s="101"/>
      <c r="C23" s="94"/>
      <c r="D23" s="108"/>
      <c r="E23" s="108"/>
      <c r="F23" s="109"/>
      <c r="G23" s="94" t="s">
        <v>442</v>
      </c>
      <c r="H23" s="110" t="str">
        <f t="shared" si="4"/>
        <v>N/A</v>
      </c>
      <c r="I23" s="110" t="str">
        <f t="shared" si="5"/>
        <v>N/A</v>
      </c>
      <c r="J23" s="111"/>
      <c r="K23" s="111"/>
      <c r="L23" s="112">
        <f t="shared" si="6"/>
        <v>0</v>
      </c>
      <c r="M23" s="113"/>
    </row>
    <row r="24">
      <c r="A24" s="102" t="s">
        <v>454</v>
      </c>
      <c r="B24" s="101"/>
      <c r="C24" s="94"/>
      <c r="D24" s="108"/>
      <c r="E24" s="108"/>
      <c r="F24" s="109"/>
      <c r="G24" s="94" t="s">
        <v>442</v>
      </c>
      <c r="H24" s="110" t="str">
        <f t="shared" si="4"/>
        <v>N/A</v>
      </c>
      <c r="I24" s="110" t="str">
        <f t="shared" si="5"/>
        <v>N/A</v>
      </c>
      <c r="J24" s="111"/>
      <c r="K24" s="111"/>
      <c r="L24" s="112">
        <f t="shared" si="6"/>
        <v>0</v>
      </c>
      <c r="M24" s="113"/>
    </row>
    <row r="25">
      <c r="A25" s="102" t="s">
        <v>455</v>
      </c>
      <c r="B25" s="101"/>
      <c r="C25" s="94"/>
      <c r="D25" s="108"/>
      <c r="E25" s="108"/>
      <c r="F25" s="109"/>
      <c r="G25" s="94" t="s">
        <v>442</v>
      </c>
      <c r="H25" s="110" t="str">
        <f t="shared" si="4"/>
        <v>N/A</v>
      </c>
      <c r="I25" s="110" t="str">
        <f t="shared" si="5"/>
        <v>N/A</v>
      </c>
      <c r="J25" s="111"/>
      <c r="K25" s="111"/>
      <c r="L25" s="112">
        <f t="shared" si="6"/>
        <v>0</v>
      </c>
      <c r="M25" s="113"/>
    </row>
    <row r="26">
      <c r="A26" s="102" t="s">
        <v>456</v>
      </c>
      <c r="B26" s="101"/>
      <c r="C26" s="94"/>
      <c r="D26" s="108"/>
      <c r="E26" s="108"/>
      <c r="F26" s="109"/>
      <c r="G26" s="94" t="s">
        <v>442</v>
      </c>
      <c r="H26" s="110" t="str">
        <f t="shared" si="4"/>
        <v>N/A</v>
      </c>
      <c r="I26" s="110" t="str">
        <f t="shared" si="5"/>
        <v>N/A</v>
      </c>
      <c r="J26" s="111"/>
      <c r="K26" s="111"/>
      <c r="L26" s="112">
        <f t="shared" si="6"/>
        <v>0</v>
      </c>
      <c r="M26" s="113"/>
    </row>
    <row r="27">
      <c r="A27" s="102" t="s">
        <v>457</v>
      </c>
      <c r="B27" s="101"/>
      <c r="C27" s="94"/>
      <c r="D27" s="108"/>
      <c r="E27" s="108"/>
      <c r="F27" s="109"/>
      <c r="G27" s="94" t="s">
        <v>442</v>
      </c>
      <c r="H27" s="110" t="str">
        <f t="shared" si="4"/>
        <v>N/A</v>
      </c>
      <c r="I27" s="110" t="str">
        <f t="shared" si="5"/>
        <v>N/A</v>
      </c>
      <c r="J27" s="111"/>
      <c r="K27" s="111"/>
      <c r="L27" s="112">
        <f t="shared" si="6"/>
        <v>0</v>
      </c>
      <c r="M27" s="113"/>
    </row>
    <row r="28">
      <c r="A28" s="102" t="s">
        <v>458</v>
      </c>
      <c r="B28" s="101"/>
      <c r="C28" s="94"/>
      <c r="D28" s="108"/>
      <c r="E28" s="108"/>
      <c r="F28" s="109"/>
      <c r="G28" s="94" t="s">
        <v>442</v>
      </c>
      <c r="H28" s="110" t="str">
        <f t="shared" si="4"/>
        <v>N/A</v>
      </c>
      <c r="I28" s="110" t="str">
        <f t="shared" si="5"/>
        <v>N/A</v>
      </c>
      <c r="J28" s="111"/>
      <c r="K28" s="111"/>
      <c r="L28" s="112">
        <f t="shared" si="6"/>
        <v>0</v>
      </c>
      <c r="M28" s="113"/>
    </row>
    <row r="29">
      <c r="A29" s="102" t="s">
        <v>459</v>
      </c>
      <c r="B29" s="101"/>
      <c r="C29" s="94"/>
      <c r="D29" s="108"/>
      <c r="E29" s="108"/>
      <c r="F29" s="109"/>
      <c r="G29" s="94" t="s">
        <v>442</v>
      </c>
      <c r="H29" s="110" t="str">
        <f t="shared" si="4"/>
        <v>N/A</v>
      </c>
      <c r="I29" s="110" t="str">
        <f t="shared" si="5"/>
        <v>N/A</v>
      </c>
      <c r="J29" s="111"/>
      <c r="K29" s="111"/>
      <c r="L29" s="112">
        <f t="shared" si="6"/>
        <v>0</v>
      </c>
      <c r="M29" s="113"/>
    </row>
    <row r="30">
      <c r="A30" s="102" t="s">
        <v>460</v>
      </c>
      <c r="B30" s="101"/>
      <c r="C30" s="94"/>
      <c r="D30" s="108"/>
      <c r="E30" s="108"/>
      <c r="F30" s="109"/>
      <c r="G30" s="94" t="s">
        <v>442</v>
      </c>
      <c r="H30" s="110" t="str">
        <f t="shared" si="4"/>
        <v>N/A</v>
      </c>
      <c r="I30" s="110" t="str">
        <f t="shared" si="5"/>
        <v>N/A</v>
      </c>
      <c r="J30" s="111"/>
      <c r="K30" s="111"/>
      <c r="L30" s="112">
        <f t="shared" si="6"/>
        <v>0</v>
      </c>
      <c r="M30" s="113"/>
    </row>
    <row r="31">
      <c r="A31" s="102" t="s">
        <v>461</v>
      </c>
      <c r="B31" s="101"/>
      <c r="C31" s="94"/>
      <c r="D31" s="108"/>
      <c r="E31" s="108"/>
      <c r="F31" s="109"/>
      <c r="G31" s="94" t="s">
        <v>442</v>
      </c>
      <c r="H31" s="110" t="str">
        <f t="shared" si="4"/>
        <v>N/A</v>
      </c>
      <c r="I31" s="110" t="str">
        <f t="shared" si="5"/>
        <v>N/A</v>
      </c>
      <c r="J31" s="111"/>
      <c r="K31" s="111"/>
      <c r="L31" s="112">
        <f t="shared" si="6"/>
        <v>0</v>
      </c>
      <c r="M31" s="113"/>
    </row>
    <row r="32">
      <c r="A32" s="92" t="s">
        <v>462</v>
      </c>
      <c r="B32" s="101"/>
      <c r="C32" s="94"/>
      <c r="D32" s="108"/>
      <c r="E32" s="108"/>
      <c r="F32" s="109"/>
      <c r="G32" s="94" t="s">
        <v>442</v>
      </c>
      <c r="H32" s="110" t="str">
        <f t="shared" si="4"/>
        <v>N/A</v>
      </c>
      <c r="I32" s="110" t="str">
        <f t="shared" si="5"/>
        <v>N/A</v>
      </c>
      <c r="J32" s="111"/>
      <c r="K32" s="111"/>
      <c r="L32" s="112">
        <f t="shared" si="6"/>
        <v>0</v>
      </c>
      <c r="M32" s="113"/>
    </row>
    <row r="33">
      <c r="A33" s="92" t="s">
        <v>463</v>
      </c>
      <c r="B33" s="101"/>
      <c r="C33" s="94"/>
      <c r="D33" s="108"/>
      <c r="E33" s="108"/>
      <c r="F33" s="109"/>
      <c r="G33" s="94" t="s">
        <v>442</v>
      </c>
      <c r="H33" s="110" t="str">
        <f t="shared" si="4"/>
        <v>N/A</v>
      </c>
      <c r="I33" s="110" t="str">
        <f t="shared" si="5"/>
        <v>N/A</v>
      </c>
      <c r="J33" s="111"/>
      <c r="K33" s="111"/>
      <c r="L33" s="112">
        <f t="shared" si="6"/>
        <v>0</v>
      </c>
      <c r="M33" s="113"/>
    </row>
    <row r="34">
      <c r="A34" s="92" t="s">
        <v>464</v>
      </c>
      <c r="B34" s="101"/>
      <c r="C34" s="94"/>
      <c r="D34" s="108"/>
      <c r="E34" s="108"/>
      <c r="F34" s="109"/>
      <c r="G34" s="94" t="s">
        <v>442</v>
      </c>
      <c r="H34" s="110" t="str">
        <f t="shared" si="4"/>
        <v>N/A</v>
      </c>
      <c r="I34" s="110" t="str">
        <f t="shared" si="5"/>
        <v>N/A</v>
      </c>
      <c r="J34" s="111"/>
      <c r="K34" s="111"/>
      <c r="L34" s="112">
        <f t="shared" si="6"/>
        <v>0</v>
      </c>
      <c r="M34" s="113"/>
    </row>
    <row r="35">
      <c r="A35" s="78"/>
      <c r="B35" s="80"/>
      <c r="C35" s="80"/>
      <c r="D35" s="79"/>
      <c r="E35" s="79"/>
      <c r="F35" s="79"/>
      <c r="G35" s="78"/>
      <c r="H35" s="78"/>
      <c r="I35" s="78"/>
      <c r="J35" s="78"/>
      <c r="K35" s="78"/>
      <c r="L35" s="78"/>
      <c r="M35" s="78"/>
    </row>
    <row r="36">
      <c r="A36" s="71"/>
      <c r="B36" s="81" t="s">
        <v>423</v>
      </c>
      <c r="C36" s="82"/>
      <c r="D36" s="79"/>
      <c r="E36" s="79"/>
      <c r="F36" s="79"/>
      <c r="G36" s="78"/>
      <c r="H36" s="78"/>
      <c r="I36" s="78"/>
      <c r="J36" s="83"/>
      <c r="K36" s="83"/>
      <c r="L36" s="83"/>
      <c r="M36" s="78"/>
    </row>
    <row r="37">
      <c r="A37" s="71"/>
      <c r="B37" s="81" t="s">
        <v>430</v>
      </c>
      <c r="C37" s="82"/>
      <c r="D37" s="85"/>
      <c r="E37" s="85"/>
      <c r="F37" s="85"/>
      <c r="G37" s="80"/>
      <c r="H37" s="80"/>
      <c r="I37" s="80"/>
      <c r="J37" s="86"/>
      <c r="K37" s="86"/>
      <c r="L37" s="86"/>
      <c r="M37" s="80"/>
    </row>
    <row r="38">
      <c r="A38" s="87"/>
      <c r="B38" s="88" t="s">
        <v>431</v>
      </c>
      <c r="C38" s="89" t="s">
        <v>432</v>
      </c>
      <c r="D38" s="90" t="s">
        <v>433</v>
      </c>
      <c r="E38" s="90" t="s">
        <v>434</v>
      </c>
      <c r="F38" s="91" t="s">
        <v>435</v>
      </c>
      <c r="G38" s="88" t="s">
        <v>12</v>
      </c>
      <c r="H38" s="88" t="s">
        <v>436</v>
      </c>
      <c r="I38" s="88" t="s">
        <v>437</v>
      </c>
      <c r="J38" s="72" t="s">
        <v>438</v>
      </c>
      <c r="K38" s="72" t="s">
        <v>439</v>
      </c>
      <c r="L38" s="72" t="s">
        <v>440</v>
      </c>
      <c r="M38" s="88" t="s">
        <v>441</v>
      </c>
    </row>
    <row r="39">
      <c r="A39" s="102" t="s">
        <v>465</v>
      </c>
      <c r="B39" s="103"/>
      <c r="C39" s="96"/>
      <c r="D39" s="108"/>
      <c r="E39" s="108"/>
      <c r="F39" s="87"/>
      <c r="G39" s="96"/>
      <c r="H39" s="97" t="str">
        <f t="shared" ref="H39:H46" si="7">IF(D39="","N/A",(E39-D39+1))</f>
        <v>N/A</v>
      </c>
      <c r="I39" s="97" t="str">
        <f t="shared" ref="I39:I46" si="8">IF(D39="","N/A",(D39-$M$1))</f>
        <v>N/A</v>
      </c>
      <c r="J39" s="99"/>
      <c r="K39" s="99"/>
      <c r="L39" s="99">
        <f t="shared" ref="L39:L46" si="9">IF(J39="",0,(K39-J39+1))</f>
        <v>0</v>
      </c>
      <c r="M39" s="104"/>
    </row>
    <row r="40">
      <c r="A40" s="102" t="s">
        <v>467</v>
      </c>
      <c r="B40" s="114"/>
      <c r="C40" s="115"/>
      <c r="D40" s="108"/>
      <c r="E40" s="108"/>
      <c r="F40" s="96"/>
      <c r="G40" s="96"/>
      <c r="H40" s="97" t="str">
        <f t="shared" si="7"/>
        <v>N/A</v>
      </c>
      <c r="I40" s="97" t="str">
        <f t="shared" si="8"/>
        <v>N/A</v>
      </c>
      <c r="J40" s="105"/>
      <c r="K40" s="105"/>
      <c r="L40" s="99">
        <f t="shared" si="9"/>
        <v>0</v>
      </c>
      <c r="M40" s="87"/>
    </row>
    <row r="41">
      <c r="A41" s="116" t="s">
        <v>468</v>
      </c>
      <c r="B41" s="117"/>
      <c r="C41" s="118"/>
      <c r="D41" s="119"/>
      <c r="E41" s="108"/>
      <c r="F41" s="120"/>
      <c r="G41" s="96"/>
      <c r="H41" s="97" t="str">
        <f t="shared" si="7"/>
        <v>N/A</v>
      </c>
      <c r="I41" s="97" t="str">
        <f t="shared" si="8"/>
        <v>N/A</v>
      </c>
      <c r="J41" s="105"/>
      <c r="K41" s="105"/>
      <c r="L41" s="99">
        <f t="shared" si="9"/>
        <v>0</v>
      </c>
      <c r="M41" s="87"/>
    </row>
    <row r="42">
      <c r="A42" s="116" t="s">
        <v>469</v>
      </c>
      <c r="B42" s="117"/>
      <c r="C42" s="121"/>
      <c r="D42" s="119"/>
      <c r="E42" s="108"/>
      <c r="F42" s="120"/>
      <c r="G42" s="96"/>
      <c r="H42" s="97" t="str">
        <f t="shared" si="7"/>
        <v>N/A</v>
      </c>
      <c r="I42" s="97" t="str">
        <f t="shared" si="8"/>
        <v>N/A</v>
      </c>
      <c r="J42" s="105"/>
      <c r="K42" s="105"/>
      <c r="L42" s="99">
        <f t="shared" si="9"/>
        <v>0</v>
      </c>
      <c r="M42" s="87"/>
    </row>
    <row r="43">
      <c r="A43" s="102" t="s">
        <v>470</v>
      </c>
      <c r="B43" s="103"/>
      <c r="C43" s="121"/>
      <c r="D43" s="108"/>
      <c r="E43" s="108"/>
      <c r="F43" s="120"/>
      <c r="G43" s="96"/>
      <c r="H43" s="97" t="str">
        <f t="shared" si="7"/>
        <v>N/A</v>
      </c>
      <c r="I43" s="97" t="str">
        <f t="shared" si="8"/>
        <v>N/A</v>
      </c>
      <c r="J43" s="105"/>
      <c r="K43" s="105"/>
      <c r="L43" s="99">
        <f t="shared" si="9"/>
        <v>0</v>
      </c>
      <c r="M43" s="87"/>
    </row>
    <row r="44">
      <c r="A44" s="102" t="s">
        <v>471</v>
      </c>
      <c r="B44" s="103"/>
      <c r="C44" s="96"/>
      <c r="D44" s="108"/>
      <c r="E44" s="108"/>
      <c r="F44" s="120"/>
      <c r="G44" s="96"/>
      <c r="H44" s="97" t="str">
        <f t="shared" si="7"/>
        <v>N/A</v>
      </c>
      <c r="I44" s="97" t="str">
        <f t="shared" si="8"/>
        <v>N/A</v>
      </c>
      <c r="J44" s="105"/>
      <c r="K44" s="105"/>
      <c r="L44" s="99">
        <f t="shared" si="9"/>
        <v>0</v>
      </c>
      <c r="M44" s="104"/>
    </row>
    <row r="45">
      <c r="A45" s="102" t="s">
        <v>472</v>
      </c>
      <c r="B45" s="103"/>
      <c r="C45" s="96"/>
      <c r="D45" s="108"/>
      <c r="E45" s="108"/>
      <c r="F45" s="109"/>
      <c r="G45" s="96"/>
      <c r="H45" s="97" t="str">
        <f t="shared" si="7"/>
        <v>N/A</v>
      </c>
      <c r="I45" s="97" t="str">
        <f t="shared" si="8"/>
        <v>N/A</v>
      </c>
      <c r="J45" s="105"/>
      <c r="K45" s="105"/>
      <c r="L45" s="99">
        <f t="shared" si="9"/>
        <v>0</v>
      </c>
      <c r="M45" s="87"/>
    </row>
    <row r="46">
      <c r="A46" s="102" t="s">
        <v>473</v>
      </c>
      <c r="B46" s="122"/>
      <c r="C46" s="96"/>
      <c r="D46" s="108"/>
      <c r="E46" s="108"/>
      <c r="F46" s="109"/>
      <c r="G46" s="24"/>
      <c r="H46" s="97" t="str">
        <f t="shared" si="7"/>
        <v>N/A</v>
      </c>
      <c r="I46" s="97" t="str">
        <f t="shared" si="8"/>
        <v>N/A</v>
      </c>
      <c r="J46" s="105"/>
      <c r="K46" s="105"/>
      <c r="L46" s="99">
        <f t="shared" si="9"/>
        <v>0</v>
      </c>
      <c r="M46" s="113"/>
    </row>
    <row r="47">
      <c r="A47" s="78"/>
      <c r="B47" s="80"/>
      <c r="C47" s="80"/>
      <c r="D47" s="79"/>
      <c r="E47" s="79"/>
      <c r="F47" s="79"/>
      <c r="G47" s="78"/>
      <c r="H47" s="78"/>
      <c r="I47" s="78"/>
      <c r="J47" s="78"/>
      <c r="K47" s="78"/>
      <c r="L47" s="78"/>
      <c r="M47" s="78"/>
    </row>
    <row r="48">
      <c r="A48" s="78"/>
      <c r="B48" s="80"/>
      <c r="C48" s="80"/>
      <c r="D48" s="79"/>
      <c r="E48" s="79"/>
      <c r="F48" s="79"/>
      <c r="G48" s="78"/>
      <c r="H48" s="78"/>
      <c r="I48" s="78"/>
      <c r="J48" s="78"/>
      <c r="K48" s="78"/>
      <c r="L48" s="78"/>
      <c r="M48" s="78"/>
    </row>
    <row r="49">
      <c r="A49" s="71"/>
      <c r="B49" s="81" t="s">
        <v>423</v>
      </c>
      <c r="C49" s="82"/>
      <c r="D49" s="79"/>
      <c r="E49" s="79"/>
      <c r="F49" s="79"/>
      <c r="G49" s="78"/>
      <c r="H49" s="78"/>
      <c r="I49" s="78"/>
      <c r="J49" s="83"/>
      <c r="K49" s="83"/>
      <c r="L49" s="83"/>
      <c r="M49" s="78"/>
    </row>
    <row r="50">
      <c r="A50" s="71"/>
      <c r="B50" s="81" t="s">
        <v>430</v>
      </c>
      <c r="C50" s="82"/>
      <c r="D50" s="85"/>
      <c r="E50" s="85"/>
      <c r="F50" s="85"/>
      <c r="G50" s="80"/>
      <c r="H50" s="80"/>
      <c r="I50" s="80"/>
      <c r="J50" s="86"/>
      <c r="K50" s="86"/>
      <c r="L50" s="86"/>
      <c r="M50" s="80"/>
    </row>
    <row r="51">
      <c r="A51" s="87"/>
      <c r="B51" s="88" t="s">
        <v>431</v>
      </c>
      <c r="C51" s="89" t="s">
        <v>432</v>
      </c>
      <c r="D51" s="90" t="s">
        <v>433</v>
      </c>
      <c r="E51" s="90" t="s">
        <v>434</v>
      </c>
      <c r="F51" s="91" t="s">
        <v>435</v>
      </c>
      <c r="G51" s="88" t="s">
        <v>12</v>
      </c>
      <c r="H51" s="88" t="s">
        <v>436</v>
      </c>
      <c r="I51" s="88" t="s">
        <v>437</v>
      </c>
      <c r="J51" s="72" t="s">
        <v>474</v>
      </c>
      <c r="K51" s="72" t="s">
        <v>439</v>
      </c>
      <c r="L51" s="72" t="s">
        <v>440</v>
      </c>
      <c r="M51" s="88" t="s">
        <v>441</v>
      </c>
    </row>
    <row r="52">
      <c r="A52" s="102" t="s">
        <v>475</v>
      </c>
      <c r="B52" s="103"/>
      <c r="C52" s="96"/>
      <c r="D52" s="108"/>
      <c r="E52" s="108"/>
      <c r="F52" s="87"/>
      <c r="G52" s="96"/>
      <c r="H52" s="97" t="str">
        <f t="shared" ref="H52:H64" si="10">IF(D52="","N/A",(E52-D52+1))</f>
        <v>N/A</v>
      </c>
      <c r="I52" s="97" t="str">
        <f t="shared" ref="I52:I64" si="11">IF(D52="","N/A",(D52-$M$1))</f>
        <v>N/A</v>
      </c>
      <c r="J52" s="123"/>
      <c r="K52" s="123"/>
      <c r="L52" s="99">
        <f t="shared" ref="L52:L64" si="12">IF(J52="",0,(K52-J52+1))</f>
        <v>0</v>
      </c>
      <c r="M52" s="124"/>
    </row>
    <row r="53">
      <c r="A53" s="102" t="s">
        <v>476</v>
      </c>
      <c r="B53" s="103"/>
      <c r="C53" s="96"/>
      <c r="D53" s="108"/>
      <c r="E53" s="108"/>
      <c r="F53" s="87"/>
      <c r="G53" s="96"/>
      <c r="H53" s="97" t="str">
        <f t="shared" si="10"/>
        <v>N/A</v>
      </c>
      <c r="I53" s="97" t="str">
        <f t="shared" si="11"/>
        <v>N/A</v>
      </c>
      <c r="J53" s="125"/>
      <c r="K53" s="125"/>
      <c r="L53" s="99">
        <f t="shared" si="12"/>
        <v>0</v>
      </c>
      <c r="M53" s="87"/>
    </row>
    <row r="54">
      <c r="A54" s="102" t="s">
        <v>477</v>
      </c>
      <c r="B54" s="103"/>
      <c r="C54" s="96"/>
      <c r="D54" s="108"/>
      <c r="E54" s="108"/>
      <c r="F54" s="87"/>
      <c r="G54" s="96"/>
      <c r="H54" s="97" t="str">
        <f t="shared" si="10"/>
        <v>N/A</v>
      </c>
      <c r="I54" s="97" t="str">
        <f t="shared" si="11"/>
        <v>N/A</v>
      </c>
      <c r="J54" s="125"/>
      <c r="K54" s="125"/>
      <c r="L54" s="99">
        <f t="shared" si="12"/>
        <v>0</v>
      </c>
      <c r="M54" s="87"/>
    </row>
    <row r="55">
      <c r="A55" s="102" t="s">
        <v>478</v>
      </c>
      <c r="B55" s="103"/>
      <c r="C55" s="96"/>
      <c r="D55" s="108"/>
      <c r="E55" s="108"/>
      <c r="F55" s="87"/>
      <c r="G55" s="96"/>
      <c r="H55" s="97" t="str">
        <f t="shared" si="10"/>
        <v>N/A</v>
      </c>
      <c r="I55" s="97" t="str">
        <f t="shared" si="11"/>
        <v>N/A</v>
      </c>
      <c r="J55" s="125"/>
      <c r="K55" s="125"/>
      <c r="L55" s="99">
        <f t="shared" si="12"/>
        <v>0</v>
      </c>
      <c r="M55" s="87"/>
    </row>
    <row r="56">
      <c r="A56" s="102" t="s">
        <v>479</v>
      </c>
      <c r="B56" s="103"/>
      <c r="C56" s="96"/>
      <c r="D56" s="108"/>
      <c r="E56" s="108"/>
      <c r="F56" s="120"/>
      <c r="G56" s="96"/>
      <c r="H56" s="97" t="str">
        <f t="shared" si="10"/>
        <v>N/A</v>
      </c>
      <c r="I56" s="97" t="str">
        <f t="shared" si="11"/>
        <v>N/A</v>
      </c>
      <c r="J56" s="125"/>
      <c r="K56" s="125"/>
      <c r="L56" s="99">
        <f t="shared" si="12"/>
        <v>0</v>
      </c>
      <c r="M56" s="87"/>
    </row>
    <row r="57">
      <c r="A57" s="102" t="s">
        <v>480</v>
      </c>
      <c r="B57" s="103"/>
      <c r="C57" s="96"/>
      <c r="D57" s="108"/>
      <c r="E57" s="108"/>
      <c r="F57" s="120"/>
      <c r="G57" s="96"/>
      <c r="H57" s="97" t="str">
        <f t="shared" si="10"/>
        <v>N/A</v>
      </c>
      <c r="I57" s="97" t="str">
        <f t="shared" si="11"/>
        <v>N/A</v>
      </c>
      <c r="J57" s="125"/>
      <c r="K57" s="125"/>
      <c r="L57" s="99">
        <f t="shared" si="12"/>
        <v>0</v>
      </c>
      <c r="M57" s="87"/>
    </row>
    <row r="58">
      <c r="A58" s="102" t="s">
        <v>481</v>
      </c>
      <c r="B58" s="103"/>
      <c r="C58" s="96"/>
      <c r="D58" s="108"/>
      <c r="E58" s="108"/>
      <c r="F58" s="120"/>
      <c r="G58" s="96"/>
      <c r="H58" s="97" t="str">
        <f t="shared" si="10"/>
        <v>N/A</v>
      </c>
      <c r="I58" s="97" t="str">
        <f t="shared" si="11"/>
        <v>N/A</v>
      </c>
      <c r="J58" s="125"/>
      <c r="K58" s="125"/>
      <c r="L58" s="99">
        <f t="shared" si="12"/>
        <v>0</v>
      </c>
      <c r="M58" s="87"/>
    </row>
    <row r="59">
      <c r="A59" s="102" t="s">
        <v>482</v>
      </c>
      <c r="B59" s="103"/>
      <c r="C59" s="96"/>
      <c r="D59" s="108"/>
      <c r="E59" s="108"/>
      <c r="F59" s="120"/>
      <c r="G59" s="96"/>
      <c r="H59" s="97" t="str">
        <f t="shared" si="10"/>
        <v>N/A</v>
      </c>
      <c r="I59" s="97" t="str">
        <f t="shared" si="11"/>
        <v>N/A</v>
      </c>
      <c r="J59" s="125"/>
      <c r="K59" s="125"/>
      <c r="L59" s="99">
        <f t="shared" si="12"/>
        <v>0</v>
      </c>
      <c r="M59" s="87"/>
    </row>
    <row r="60">
      <c r="A60" s="102" t="s">
        <v>483</v>
      </c>
      <c r="B60" s="103"/>
      <c r="C60" s="96"/>
      <c r="D60" s="108"/>
      <c r="E60" s="108"/>
      <c r="F60" s="120"/>
      <c r="G60" s="96"/>
      <c r="H60" s="97" t="str">
        <f t="shared" si="10"/>
        <v>N/A</v>
      </c>
      <c r="I60" s="97" t="str">
        <f t="shared" si="11"/>
        <v>N/A</v>
      </c>
      <c r="J60" s="125"/>
      <c r="K60" s="126"/>
      <c r="L60" s="112">
        <f t="shared" si="12"/>
        <v>0</v>
      </c>
      <c r="M60" s="113"/>
    </row>
    <row r="61">
      <c r="A61" s="102" t="s">
        <v>484</v>
      </c>
      <c r="B61" s="103"/>
      <c r="C61" s="96"/>
      <c r="D61" s="108"/>
      <c r="E61" s="108"/>
      <c r="F61" s="109"/>
      <c r="G61" s="94"/>
      <c r="H61" s="110" t="str">
        <f t="shared" si="10"/>
        <v>N/A</v>
      </c>
      <c r="I61" s="110" t="str">
        <f t="shared" si="11"/>
        <v>N/A</v>
      </c>
      <c r="J61" s="126"/>
      <c r="K61" s="126"/>
      <c r="L61" s="112">
        <f t="shared" si="12"/>
        <v>0</v>
      </c>
      <c r="M61" s="113"/>
    </row>
    <row r="62">
      <c r="A62" s="102" t="s">
        <v>485</v>
      </c>
      <c r="B62" s="122"/>
      <c r="C62" s="96"/>
      <c r="D62" s="108"/>
      <c r="E62" s="108"/>
      <c r="F62" s="109"/>
      <c r="G62" s="94"/>
      <c r="H62" s="110" t="str">
        <f t="shared" si="10"/>
        <v>N/A</v>
      </c>
      <c r="I62" s="110" t="str">
        <f t="shared" si="11"/>
        <v>N/A</v>
      </c>
      <c r="J62" s="126"/>
      <c r="K62" s="126"/>
      <c r="L62" s="112">
        <f t="shared" si="12"/>
        <v>0</v>
      </c>
      <c r="M62" s="113"/>
    </row>
    <row r="63">
      <c r="A63" s="102" t="s">
        <v>486</v>
      </c>
      <c r="B63" s="122"/>
      <c r="C63" s="96"/>
      <c r="D63" s="108"/>
      <c r="E63" s="108"/>
      <c r="F63" s="109"/>
      <c r="G63" s="94"/>
      <c r="H63" s="110" t="str">
        <f t="shared" si="10"/>
        <v>N/A</v>
      </c>
      <c r="I63" s="110" t="str">
        <f t="shared" si="11"/>
        <v>N/A</v>
      </c>
      <c r="J63" s="126"/>
      <c r="K63" s="126"/>
      <c r="L63" s="112">
        <f t="shared" si="12"/>
        <v>0</v>
      </c>
      <c r="M63" s="113"/>
    </row>
    <row r="64">
      <c r="A64" s="102" t="s">
        <v>487</v>
      </c>
      <c r="B64" s="122"/>
      <c r="C64" s="96"/>
      <c r="D64" s="108"/>
      <c r="E64" s="108"/>
      <c r="F64" s="109"/>
      <c r="G64" s="94"/>
      <c r="H64" s="110" t="str">
        <f t="shared" si="10"/>
        <v>N/A</v>
      </c>
      <c r="I64" s="110" t="str">
        <f t="shared" si="11"/>
        <v>N/A</v>
      </c>
      <c r="J64" s="126"/>
      <c r="K64" s="126"/>
      <c r="L64" s="112">
        <f t="shared" si="12"/>
        <v>0</v>
      </c>
      <c r="M64" s="113"/>
    </row>
    <row r="65">
      <c r="A65" s="78"/>
      <c r="B65" s="80"/>
      <c r="C65" s="80"/>
      <c r="D65" s="79"/>
      <c r="E65" s="79"/>
      <c r="F65" s="79"/>
      <c r="G65" s="78"/>
      <c r="H65" s="78"/>
      <c r="I65" s="78"/>
      <c r="J65" s="78"/>
      <c r="K65" s="78"/>
      <c r="L65" s="78"/>
      <c r="M65" s="78"/>
    </row>
    <row r="66">
      <c r="A66" s="71"/>
      <c r="B66" s="81" t="s">
        <v>423</v>
      </c>
      <c r="C66" s="82"/>
      <c r="D66" s="79"/>
      <c r="E66" s="79"/>
      <c r="F66" s="79"/>
      <c r="G66" s="78"/>
      <c r="H66" s="78"/>
      <c r="I66" s="78"/>
      <c r="J66" s="83"/>
      <c r="K66" s="83"/>
      <c r="L66" s="83"/>
      <c r="M66" s="78"/>
    </row>
    <row r="67">
      <c r="A67" s="71"/>
      <c r="B67" s="81" t="s">
        <v>430</v>
      </c>
      <c r="C67" s="82"/>
      <c r="D67" s="85"/>
      <c r="E67" s="85"/>
      <c r="F67" s="85"/>
      <c r="G67" s="80"/>
      <c r="H67" s="80"/>
      <c r="I67" s="80"/>
      <c r="J67" s="86"/>
      <c r="K67" s="86"/>
      <c r="L67" s="86"/>
      <c r="M67" s="80"/>
    </row>
    <row r="68">
      <c r="A68" s="87"/>
      <c r="B68" s="88" t="s">
        <v>431</v>
      </c>
      <c r="C68" s="89" t="s">
        <v>432</v>
      </c>
      <c r="D68" s="90" t="s">
        <v>433</v>
      </c>
      <c r="E68" s="90" t="s">
        <v>434</v>
      </c>
      <c r="F68" s="91" t="s">
        <v>435</v>
      </c>
      <c r="G68" s="88" t="s">
        <v>12</v>
      </c>
      <c r="H68" s="88" t="s">
        <v>436</v>
      </c>
      <c r="I68" s="88" t="s">
        <v>437</v>
      </c>
      <c r="J68" s="72" t="s">
        <v>438</v>
      </c>
      <c r="K68" s="72" t="s">
        <v>439</v>
      </c>
      <c r="L68" s="72" t="s">
        <v>440</v>
      </c>
      <c r="M68" s="88" t="s">
        <v>441</v>
      </c>
    </row>
    <row r="69">
      <c r="A69" s="102" t="s">
        <v>489</v>
      </c>
      <c r="B69" s="103"/>
      <c r="C69" s="121"/>
      <c r="D69" s="127"/>
      <c r="E69" s="127"/>
      <c r="F69" s="120"/>
      <c r="G69" s="87"/>
      <c r="H69" s="97" t="str">
        <f t="shared" ref="H69:H72" si="13">IF(D69="","N/A",(E69-D69+1))</f>
        <v>N/A</v>
      </c>
      <c r="I69" s="97" t="str">
        <f>IF(D69="","N/A",(D69-'Community Work Plan - Uganda '!$M$1))</f>
        <v>N/A</v>
      </c>
      <c r="J69" s="98"/>
      <c r="K69" s="98"/>
      <c r="L69" s="99">
        <f t="shared" ref="L69:L74" si="14">IF(J69="",0,(K69-J69+1))</f>
        <v>0</v>
      </c>
      <c r="M69" s="104"/>
    </row>
    <row r="70">
      <c r="A70" s="102" t="s">
        <v>491</v>
      </c>
      <c r="B70" s="103"/>
      <c r="C70" s="121"/>
      <c r="D70" s="127"/>
      <c r="E70" s="127"/>
      <c r="F70" s="120"/>
      <c r="G70" s="87"/>
      <c r="H70" s="97" t="str">
        <f t="shared" si="13"/>
        <v>N/A</v>
      </c>
      <c r="I70" s="97" t="str">
        <f>IF(D70="","N/A",(D70-'Community Work Plan - Uganda '!$M$1))</f>
        <v>N/A</v>
      </c>
      <c r="J70" s="98"/>
      <c r="K70" s="98"/>
      <c r="L70" s="99">
        <f t="shared" si="14"/>
        <v>0</v>
      </c>
      <c r="M70" s="104"/>
    </row>
    <row r="71">
      <c r="A71" s="102" t="s">
        <v>493</v>
      </c>
      <c r="B71" s="103"/>
      <c r="C71" s="121"/>
      <c r="D71" s="127"/>
      <c r="E71" s="127"/>
      <c r="F71" s="120"/>
      <c r="G71" s="87"/>
      <c r="H71" s="97" t="str">
        <f t="shared" si="13"/>
        <v>N/A</v>
      </c>
      <c r="I71" s="97" t="str">
        <f>IF(D71="","N/A",(D71-'Community Work Plan - Uganda '!$M$1))</f>
        <v>N/A</v>
      </c>
      <c r="J71" s="98"/>
      <c r="K71" s="98"/>
      <c r="L71" s="99">
        <f t="shared" si="14"/>
        <v>0</v>
      </c>
      <c r="M71" s="124"/>
    </row>
    <row r="72">
      <c r="A72" s="102" t="s">
        <v>495</v>
      </c>
      <c r="B72" s="103"/>
      <c r="C72" s="121"/>
      <c r="D72" s="127"/>
      <c r="E72" s="127"/>
      <c r="F72" s="120"/>
      <c r="G72" s="87"/>
      <c r="H72" s="97" t="str">
        <f t="shared" si="13"/>
        <v>N/A</v>
      </c>
      <c r="I72" s="97" t="str">
        <f>IF(D72="","N/A",(D72-'Community Work Plan - Uganda '!$M$1))</f>
        <v>N/A</v>
      </c>
      <c r="J72" s="98"/>
      <c r="K72" s="98"/>
      <c r="L72" s="99">
        <f t="shared" si="14"/>
        <v>0</v>
      </c>
      <c r="M72" s="104"/>
    </row>
    <row r="73">
      <c r="A73" s="102"/>
      <c r="B73" s="103"/>
      <c r="C73" s="121"/>
      <c r="D73" s="127"/>
      <c r="E73" s="127"/>
      <c r="F73" s="120"/>
      <c r="G73" s="87"/>
      <c r="H73" s="97"/>
      <c r="I73" s="97"/>
      <c r="J73" s="128"/>
      <c r="K73" s="128"/>
      <c r="L73" s="99">
        <f t="shared" si="14"/>
        <v>0</v>
      </c>
      <c r="M73" s="124"/>
    </row>
    <row r="74">
      <c r="A74" s="102" t="s">
        <v>497</v>
      </c>
      <c r="B74" s="103"/>
      <c r="C74" s="121"/>
      <c r="D74" s="127"/>
      <c r="E74" s="127"/>
      <c r="F74" s="120"/>
      <c r="G74" s="87"/>
      <c r="H74" s="97" t="str">
        <f>IF(D74="","N/A",(E74-D74+1))</f>
        <v>N/A</v>
      </c>
      <c r="I74" s="97" t="str">
        <f>IF(D74="","N/A",(D74-'Community Work Plan - Uganda '!$M$1))</f>
        <v>N/A</v>
      </c>
      <c r="J74" s="128"/>
      <c r="K74" s="128"/>
      <c r="L74" s="99">
        <f t="shared" si="14"/>
        <v>0</v>
      </c>
      <c r="M74" s="104"/>
    </row>
    <row r="75">
      <c r="A75" s="78"/>
      <c r="B75" s="80"/>
      <c r="C75" s="80"/>
      <c r="D75" s="79"/>
      <c r="E75" s="79"/>
      <c r="F75" s="79"/>
      <c r="G75" s="78"/>
      <c r="H75" s="78"/>
      <c r="I75" s="78"/>
      <c r="J75" s="78"/>
      <c r="K75" s="78"/>
      <c r="L75" s="78"/>
      <c r="M75" s="78"/>
    </row>
    <row r="76">
      <c r="A76" s="78"/>
      <c r="B76" s="78"/>
      <c r="C76" s="78"/>
      <c r="D76" s="79"/>
      <c r="E76" s="79"/>
      <c r="F76" s="79"/>
      <c r="G76" s="78"/>
      <c r="H76" s="78"/>
      <c r="I76" s="78"/>
      <c r="J76" s="78"/>
      <c r="K76" s="78"/>
      <c r="L76" s="78"/>
      <c r="M76" s="78"/>
    </row>
    <row r="77">
      <c r="A77" s="78"/>
      <c r="B77" s="80"/>
      <c r="C77" s="80"/>
      <c r="D77" s="79"/>
      <c r="E77" s="79"/>
      <c r="F77" s="79"/>
      <c r="G77" s="78"/>
      <c r="H77" s="78"/>
      <c r="I77" s="78"/>
      <c r="J77" s="78"/>
      <c r="K77" s="78"/>
      <c r="L77" s="78"/>
      <c r="M77" s="78"/>
    </row>
    <row r="78">
      <c r="A78" s="71"/>
      <c r="B78" s="81" t="s">
        <v>423</v>
      </c>
      <c r="C78" s="82"/>
      <c r="D78" s="24"/>
      <c r="E78" s="79"/>
      <c r="F78" s="79"/>
      <c r="G78" s="78"/>
      <c r="H78" s="78"/>
      <c r="I78" s="78"/>
      <c r="J78" s="83"/>
      <c r="K78" s="83"/>
      <c r="L78" s="83"/>
      <c r="M78" s="78"/>
    </row>
    <row r="79">
      <c r="A79" s="71"/>
      <c r="B79" s="81" t="s">
        <v>430</v>
      </c>
      <c r="C79" s="82"/>
      <c r="D79" s="85"/>
      <c r="E79" s="85"/>
      <c r="F79" s="85"/>
      <c r="G79" s="80"/>
      <c r="H79" s="80"/>
      <c r="I79" s="80"/>
      <c r="J79" s="86"/>
      <c r="K79" s="86"/>
      <c r="L79" s="86"/>
      <c r="M79" s="80"/>
    </row>
    <row r="80">
      <c r="A80" s="87"/>
      <c r="B80" s="131" t="s">
        <v>431</v>
      </c>
      <c r="C80" s="89" t="s">
        <v>432</v>
      </c>
      <c r="D80" s="90" t="s">
        <v>433</v>
      </c>
      <c r="E80" s="90" t="s">
        <v>434</v>
      </c>
      <c r="F80" s="91" t="s">
        <v>435</v>
      </c>
      <c r="G80" s="88" t="s">
        <v>12</v>
      </c>
      <c r="H80" s="88" t="s">
        <v>436</v>
      </c>
      <c r="I80" s="88" t="s">
        <v>437</v>
      </c>
      <c r="J80" s="72" t="s">
        <v>438</v>
      </c>
      <c r="K80" s="72" t="s">
        <v>439</v>
      </c>
      <c r="L80" s="72" t="s">
        <v>440</v>
      </c>
      <c r="M80" s="88" t="s">
        <v>441</v>
      </c>
    </row>
    <row r="81">
      <c r="A81" s="102" t="s">
        <v>498</v>
      </c>
      <c r="B81" s="132"/>
      <c r="C81" s="87"/>
      <c r="D81" s="127"/>
      <c r="E81" s="127"/>
      <c r="F81" s="120"/>
      <c r="G81" s="87"/>
      <c r="H81" s="97" t="str">
        <f t="shared" ref="H81:H84" si="15">IF(D81="","N/A",(E81-D81+1))</f>
        <v>N/A</v>
      </c>
      <c r="I81" s="97" t="str">
        <f>IF(D81="","N/A",(D81-'Community Work Plan - Uganda '!$M$1))</f>
        <v>N/A</v>
      </c>
      <c r="J81" s="105"/>
      <c r="K81" s="105"/>
      <c r="L81" s="99">
        <f t="shared" ref="L81:L84" si="16">IFs(J81="",0,K81="",0,K81&lt;&gt;"",(K81-J81+1))</f>
        <v>0</v>
      </c>
      <c r="M81" s="87"/>
    </row>
    <row r="82">
      <c r="A82" s="102" t="s">
        <v>499</v>
      </c>
      <c r="B82" s="103"/>
      <c r="C82" s="87"/>
      <c r="D82" s="127"/>
      <c r="E82" s="127"/>
      <c r="F82" s="120"/>
      <c r="G82" s="87"/>
      <c r="H82" s="97" t="str">
        <f t="shared" si="15"/>
        <v>N/A</v>
      </c>
      <c r="I82" s="97" t="str">
        <f>IF(D82="","N/A",(D82-'Community Work Plan - Uganda '!$M$1))</f>
        <v>N/A</v>
      </c>
      <c r="J82" s="105"/>
      <c r="K82" s="105"/>
      <c r="L82" s="99">
        <f t="shared" si="16"/>
        <v>0</v>
      </c>
      <c r="M82" s="87"/>
    </row>
    <row r="83">
      <c r="A83" s="102" t="s">
        <v>500</v>
      </c>
      <c r="B83" s="103"/>
      <c r="C83" s="87"/>
      <c r="D83" s="127"/>
      <c r="E83" s="127"/>
      <c r="F83" s="120"/>
      <c r="G83" s="87"/>
      <c r="H83" s="97" t="str">
        <f t="shared" si="15"/>
        <v>N/A</v>
      </c>
      <c r="I83" s="97" t="str">
        <f>IF(D83="","N/A",(D83-'Community Work Plan - Uganda '!$M$1))</f>
        <v>N/A</v>
      </c>
      <c r="J83" s="105"/>
      <c r="K83" s="105"/>
      <c r="L83" s="99">
        <f t="shared" si="16"/>
        <v>0</v>
      </c>
      <c r="M83" s="87"/>
    </row>
    <row r="84">
      <c r="A84" s="102" t="s">
        <v>501</v>
      </c>
      <c r="B84" s="103"/>
      <c r="C84" s="87"/>
      <c r="D84" s="127"/>
      <c r="E84" s="127"/>
      <c r="F84" s="120"/>
      <c r="G84" s="87"/>
      <c r="H84" s="97" t="str">
        <f t="shared" si="15"/>
        <v>N/A</v>
      </c>
      <c r="I84" s="97" t="str">
        <f>IF(D84="","N/A",(D84-'Community Work Plan - Uganda '!$M$1))</f>
        <v>N/A</v>
      </c>
      <c r="J84" s="105"/>
      <c r="K84" s="105"/>
      <c r="L84" s="99">
        <f t="shared" si="16"/>
        <v>0</v>
      </c>
      <c r="M84" s="87"/>
    </row>
    <row r="85">
      <c r="A85" s="78"/>
      <c r="B85" s="78"/>
      <c r="C85" s="78"/>
      <c r="D85" s="79"/>
      <c r="E85" s="79"/>
      <c r="F85" s="79"/>
      <c r="G85" s="78"/>
      <c r="H85" s="78"/>
      <c r="I85" s="78"/>
      <c r="J85" s="78"/>
      <c r="K85" s="78"/>
      <c r="L85" s="78"/>
      <c r="M85" s="78"/>
    </row>
    <row r="86">
      <c r="A86" s="78"/>
      <c r="B86" s="80"/>
      <c r="C86" s="80"/>
      <c r="D86" s="79"/>
      <c r="E86" s="79"/>
      <c r="F86" s="79"/>
      <c r="G86" s="78"/>
      <c r="H86" s="78"/>
      <c r="I86" s="78"/>
      <c r="J86" s="78"/>
      <c r="K86" s="78"/>
      <c r="L86" s="78"/>
      <c r="M86" s="78"/>
    </row>
    <row r="87">
      <c r="A87" s="71"/>
      <c r="B87" s="81" t="s">
        <v>423</v>
      </c>
      <c r="C87" s="82"/>
      <c r="D87" s="79"/>
      <c r="E87" s="79"/>
      <c r="F87" s="79"/>
      <c r="G87" s="78"/>
      <c r="H87" s="78"/>
      <c r="I87" s="78"/>
      <c r="J87" s="83"/>
      <c r="K87" s="83"/>
      <c r="L87" s="83"/>
      <c r="M87" s="78"/>
    </row>
    <row r="88">
      <c r="A88" s="71"/>
      <c r="B88" s="81" t="s">
        <v>430</v>
      </c>
      <c r="C88" s="89"/>
      <c r="D88" s="85"/>
      <c r="E88" s="85"/>
      <c r="F88" s="85"/>
      <c r="G88" s="80"/>
      <c r="H88" s="80"/>
      <c r="I88" s="80"/>
      <c r="J88" s="86"/>
      <c r="K88" s="86"/>
      <c r="L88" s="86"/>
      <c r="M88" s="80"/>
    </row>
    <row r="89">
      <c r="A89" s="87"/>
      <c r="B89" s="131" t="s">
        <v>431</v>
      </c>
      <c r="C89" s="89" t="s">
        <v>432</v>
      </c>
      <c r="D89" s="90" t="s">
        <v>433</v>
      </c>
      <c r="E89" s="90" t="s">
        <v>434</v>
      </c>
      <c r="F89" s="91" t="s">
        <v>435</v>
      </c>
      <c r="G89" s="88" t="s">
        <v>12</v>
      </c>
      <c r="H89" s="88" t="s">
        <v>436</v>
      </c>
      <c r="I89" s="88" t="s">
        <v>437</v>
      </c>
      <c r="J89" s="72" t="s">
        <v>438</v>
      </c>
      <c r="K89" s="72" t="s">
        <v>439</v>
      </c>
      <c r="L89" s="72" t="s">
        <v>440</v>
      </c>
      <c r="M89" s="88" t="s">
        <v>441</v>
      </c>
    </row>
    <row r="90">
      <c r="A90" s="102" t="s">
        <v>502</v>
      </c>
      <c r="B90" s="133"/>
      <c r="C90" s="87"/>
      <c r="D90" s="120"/>
      <c r="E90" s="134"/>
      <c r="F90" s="120"/>
      <c r="G90" s="87"/>
      <c r="H90" s="97" t="str">
        <f t="shared" ref="H90:H94" si="17">IF(D90="","N/A",(E90-D90+1))</f>
        <v>N/A</v>
      </c>
      <c r="I90" s="97" t="str">
        <f>IF(D90="","N/A",(D90-'Community Work Plan - Uganda '!$M$1))</f>
        <v>N/A</v>
      </c>
      <c r="J90" s="99"/>
      <c r="K90" s="99"/>
      <c r="L90" s="99">
        <f t="shared" ref="L90:L94" si="18">IF(J90="",0,(K90-J90+1))</f>
        <v>0</v>
      </c>
      <c r="M90" s="87"/>
    </row>
    <row r="91">
      <c r="A91" s="102" t="s">
        <v>503</v>
      </c>
      <c r="B91" s="124"/>
      <c r="C91" s="87"/>
      <c r="D91" s="120"/>
      <c r="E91" s="120"/>
      <c r="F91" s="120"/>
      <c r="G91" s="87"/>
      <c r="H91" s="97" t="str">
        <f t="shared" si="17"/>
        <v>N/A</v>
      </c>
      <c r="I91" s="97" t="str">
        <f>IF(D91="","N/A",(D91-'Community Work Plan - Uganda '!$M$1))</f>
        <v>N/A</v>
      </c>
      <c r="J91" s="105"/>
      <c r="K91" s="105"/>
      <c r="L91" s="99">
        <f t="shared" si="18"/>
        <v>0</v>
      </c>
      <c r="M91" s="87"/>
    </row>
    <row r="92">
      <c r="A92" s="102" t="s">
        <v>504</v>
      </c>
      <c r="B92" s="124"/>
      <c r="C92" s="87"/>
      <c r="D92" s="120"/>
      <c r="E92" s="120"/>
      <c r="F92" s="120"/>
      <c r="G92" s="87"/>
      <c r="H92" s="97" t="str">
        <f t="shared" si="17"/>
        <v>N/A</v>
      </c>
      <c r="I92" s="97" t="str">
        <f>IF(D92="","N/A",(D92-'Community Work Plan - Uganda '!$M$1))</f>
        <v>N/A</v>
      </c>
      <c r="J92" s="105"/>
      <c r="K92" s="105"/>
      <c r="L92" s="99">
        <f t="shared" si="18"/>
        <v>0</v>
      </c>
      <c r="M92" s="87"/>
    </row>
    <row r="93">
      <c r="A93" s="102" t="s">
        <v>505</v>
      </c>
      <c r="B93" s="124"/>
      <c r="C93" s="87"/>
      <c r="D93" s="120"/>
      <c r="E93" s="120"/>
      <c r="F93" s="120"/>
      <c r="G93" s="87"/>
      <c r="H93" s="97" t="str">
        <f t="shared" si="17"/>
        <v>N/A</v>
      </c>
      <c r="I93" s="97" t="str">
        <f>IF(D93="","N/A",(D93-'Community Work Plan - Uganda '!$M$1))</f>
        <v>N/A</v>
      </c>
      <c r="J93" s="105"/>
      <c r="K93" s="105"/>
      <c r="L93" s="99">
        <f t="shared" si="18"/>
        <v>0</v>
      </c>
      <c r="M93" s="87"/>
    </row>
    <row r="94">
      <c r="A94" s="102" t="s">
        <v>506</v>
      </c>
      <c r="B94" s="124"/>
      <c r="C94" s="87"/>
      <c r="D94" s="120"/>
      <c r="E94" s="134"/>
      <c r="F94" s="120"/>
      <c r="G94" s="87"/>
      <c r="H94" s="97" t="str">
        <f t="shared" si="17"/>
        <v>N/A</v>
      </c>
      <c r="I94" s="97" t="str">
        <f>IF(D94="","N/A",(D94-'Community Work Plan - Uganda '!$M$1))</f>
        <v>N/A</v>
      </c>
      <c r="J94" s="105"/>
      <c r="K94" s="105"/>
      <c r="L94" s="99">
        <f t="shared" si="18"/>
        <v>0</v>
      </c>
      <c r="M94" s="87"/>
    </row>
  </sheetData>
  <mergeCells count="1">
    <mergeCell ref="A1:L1"/>
  </mergeCells>
  <dataValidations>
    <dataValidation type="custom" allowBlank="1" showDropDown="1" showInputMessage="1" showErrorMessage="1" prompt="Enter a valid date" sqref="E69:E74 E81:E84">
      <formula1>OR(NOT(ISERROR(DATEVALUE(E69))), AND(ISNUMBER(E69), LEFT(CELL("format", E69))="D"))</formula1>
    </dataValidation>
    <dataValidation type="date" operator="greaterThanOrEqual" allowBlank="1" showDropDown="1" showInputMessage="1" showErrorMessage="1" prompt="Enter a date on or after 02/27/2023" sqref="D8:E16 J8:K16 D22:E34 J22:K34 D39:E46 J39:K46 D52:E64 J52:K64 D69:D74 J69:K74 D81:D84 J81:K84 D90:D91 D92:E92 D93:D94 J90:K94">
      <formula1>44984.0</formula1>
    </dataValidation>
    <dataValidation type="list" allowBlank="1" showErrorMessage="1" sqref="G8:G16 G22:G34 G39:G46 G52:G64 G69:G74 G81:G84 G90:G94">
      <formula1>"Scheduled,In Progress-On Time,In Progress-Delayed,Not Started-Delayed,Completed-On Schedule,Completed-Delayed"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13"/>
    <col customWidth="1" min="5" max="5" width="18.13"/>
    <col customWidth="1" min="8" max="8" width="24.88"/>
    <col customWidth="1" min="13" max="13" width="14.25"/>
  </cols>
  <sheetData>
    <row r="1">
      <c r="A1" s="67" t="s">
        <v>507</v>
      </c>
      <c r="B1" s="68"/>
      <c r="C1" s="68"/>
      <c r="D1" s="68"/>
      <c r="E1" s="68"/>
      <c r="F1" s="68"/>
      <c r="G1" s="68"/>
      <c r="H1" s="68"/>
      <c r="I1" s="68"/>
      <c r="J1" s="68"/>
      <c r="K1" s="68"/>
      <c r="L1" s="69"/>
      <c r="M1" s="70">
        <f>TODAY()</f>
        <v>46325</v>
      </c>
    </row>
    <row r="2">
      <c r="A2" s="71"/>
      <c r="B2" s="72" t="s">
        <v>411</v>
      </c>
      <c r="C2" s="73" t="s">
        <v>413</v>
      </c>
      <c r="D2" s="74"/>
      <c r="E2" s="75" t="s">
        <v>416</v>
      </c>
      <c r="F2" s="76" t="s">
        <v>420</v>
      </c>
      <c r="G2" s="71"/>
      <c r="H2" s="75" t="s">
        <v>421</v>
      </c>
      <c r="I2" s="77" t="s">
        <v>422</v>
      </c>
      <c r="J2" s="78"/>
      <c r="K2" s="78"/>
      <c r="L2" s="78"/>
      <c r="M2" s="78"/>
    </row>
    <row r="3">
      <c r="A3" s="78"/>
      <c r="B3" s="78"/>
      <c r="C3" s="78"/>
      <c r="D3" s="79"/>
      <c r="E3" s="79"/>
      <c r="F3" s="79"/>
      <c r="G3" s="78"/>
      <c r="H3" s="78"/>
      <c r="I3" s="78"/>
      <c r="J3" s="78"/>
      <c r="K3" s="78"/>
      <c r="L3" s="78"/>
      <c r="M3" s="78"/>
    </row>
    <row r="4">
      <c r="A4" s="78"/>
      <c r="B4" s="80"/>
      <c r="C4" s="80"/>
      <c r="D4" s="79"/>
      <c r="E4" s="79"/>
      <c r="F4" s="79"/>
      <c r="G4" s="78"/>
      <c r="H4" s="78"/>
      <c r="I4" s="78"/>
      <c r="J4" s="78"/>
      <c r="K4" s="78"/>
      <c r="L4" s="78"/>
      <c r="M4" s="78"/>
    </row>
    <row r="5">
      <c r="A5" s="71"/>
      <c r="B5" s="81" t="s">
        <v>423</v>
      </c>
      <c r="C5" s="82"/>
      <c r="D5" s="79"/>
      <c r="E5" s="79"/>
      <c r="F5" s="79"/>
      <c r="G5" s="78"/>
      <c r="H5" s="78"/>
      <c r="I5" s="78"/>
      <c r="J5" s="83"/>
      <c r="K5" s="83"/>
      <c r="L5" s="83"/>
      <c r="M5" s="78"/>
    </row>
    <row r="6">
      <c r="A6" s="71"/>
      <c r="B6" s="81" t="s">
        <v>430</v>
      </c>
      <c r="C6" s="82"/>
      <c r="D6" s="84"/>
      <c r="E6" s="85"/>
      <c r="F6" s="85"/>
      <c r="G6" s="80"/>
      <c r="H6" s="80"/>
      <c r="I6" s="80"/>
      <c r="J6" s="86"/>
      <c r="K6" s="86"/>
      <c r="L6" s="86"/>
      <c r="M6" s="80"/>
    </row>
    <row r="7">
      <c r="A7" s="87"/>
      <c r="B7" s="88" t="s">
        <v>431</v>
      </c>
      <c r="C7" s="89" t="s">
        <v>432</v>
      </c>
      <c r="D7" s="90" t="s">
        <v>433</v>
      </c>
      <c r="E7" s="90" t="s">
        <v>434</v>
      </c>
      <c r="F7" s="91" t="s">
        <v>435</v>
      </c>
      <c r="G7" s="88" t="s">
        <v>12</v>
      </c>
      <c r="H7" s="88" t="s">
        <v>436</v>
      </c>
      <c r="I7" s="88" t="s">
        <v>437</v>
      </c>
      <c r="J7" s="72" t="s">
        <v>438</v>
      </c>
      <c r="K7" s="72" t="s">
        <v>439</v>
      </c>
      <c r="L7" s="72" t="s">
        <v>440</v>
      </c>
      <c r="M7" s="88" t="s">
        <v>441</v>
      </c>
    </row>
    <row r="8">
      <c r="A8" s="92"/>
      <c r="B8" s="93"/>
      <c r="C8" s="94"/>
      <c r="D8" s="95"/>
      <c r="E8" s="95"/>
      <c r="F8" s="87"/>
      <c r="G8" s="96" t="s">
        <v>442</v>
      </c>
      <c r="H8" s="97" t="str">
        <f t="shared" ref="H8:H16" si="1">IF(D8="","N/A",(E8-D8+1))</f>
        <v>N/A</v>
      </c>
      <c r="I8" s="97" t="str">
        <f t="shared" ref="I8:I16" si="2">IF(D8="","N/A",(D8-$M$1))</f>
        <v>N/A</v>
      </c>
      <c r="J8" s="98"/>
      <c r="K8" s="98"/>
      <c r="L8" s="99">
        <f t="shared" ref="L8:L16" si="3">IF(J8="",0,(K8-J8+1))</f>
        <v>0</v>
      </c>
      <c r="M8" s="100"/>
    </row>
    <row r="9">
      <c r="A9" s="92" t="s">
        <v>443</v>
      </c>
      <c r="B9" s="101"/>
      <c r="C9" s="94"/>
      <c r="D9" s="95"/>
      <c r="E9" s="95"/>
      <c r="F9" s="87"/>
      <c r="G9" s="96" t="s">
        <v>442</v>
      </c>
      <c r="H9" s="97" t="str">
        <f t="shared" si="1"/>
        <v>N/A</v>
      </c>
      <c r="I9" s="97" t="str">
        <f t="shared" si="2"/>
        <v>N/A</v>
      </c>
      <c r="J9" s="98"/>
      <c r="K9" s="98"/>
      <c r="L9" s="99">
        <f t="shared" si="3"/>
        <v>0</v>
      </c>
      <c r="M9" s="100"/>
    </row>
    <row r="10">
      <c r="A10" s="102" t="s">
        <v>444</v>
      </c>
      <c r="B10" s="103"/>
      <c r="C10" s="96"/>
      <c r="D10" s="95"/>
      <c r="E10" s="95"/>
      <c r="F10" s="87"/>
      <c r="G10" s="96" t="s">
        <v>442</v>
      </c>
      <c r="H10" s="97" t="str">
        <f t="shared" si="1"/>
        <v>N/A</v>
      </c>
      <c r="I10" s="97" t="str">
        <f t="shared" si="2"/>
        <v>N/A</v>
      </c>
      <c r="J10" s="98"/>
      <c r="K10" s="98"/>
      <c r="L10" s="99">
        <f t="shared" si="3"/>
        <v>0</v>
      </c>
      <c r="M10" s="100"/>
    </row>
    <row r="11">
      <c r="A11" s="102" t="s">
        <v>445</v>
      </c>
      <c r="B11" s="103"/>
      <c r="C11" s="96"/>
      <c r="D11" s="95"/>
      <c r="E11" s="95"/>
      <c r="F11" s="87"/>
      <c r="G11" s="96" t="s">
        <v>442</v>
      </c>
      <c r="H11" s="97" t="str">
        <f t="shared" si="1"/>
        <v>N/A</v>
      </c>
      <c r="I11" s="97" t="str">
        <f t="shared" si="2"/>
        <v>N/A</v>
      </c>
      <c r="J11" s="98"/>
      <c r="K11" s="98"/>
      <c r="L11" s="99">
        <f t="shared" si="3"/>
        <v>0</v>
      </c>
      <c r="M11" s="100"/>
    </row>
    <row r="12">
      <c r="A12" s="102" t="s">
        <v>446</v>
      </c>
      <c r="B12" s="103"/>
      <c r="C12" s="96"/>
      <c r="D12" s="95"/>
      <c r="E12" s="95"/>
      <c r="F12" s="87"/>
      <c r="G12" s="96" t="s">
        <v>442</v>
      </c>
      <c r="H12" s="97" t="str">
        <f t="shared" si="1"/>
        <v>N/A</v>
      </c>
      <c r="I12" s="97" t="str">
        <f t="shared" si="2"/>
        <v>N/A</v>
      </c>
      <c r="J12" s="98"/>
      <c r="K12" s="98"/>
      <c r="L12" s="99">
        <f t="shared" si="3"/>
        <v>0</v>
      </c>
      <c r="M12" s="104"/>
    </row>
    <row r="13">
      <c r="A13" s="102" t="s">
        <v>447</v>
      </c>
      <c r="B13" s="103"/>
      <c r="C13" s="96"/>
      <c r="D13" s="95"/>
      <c r="E13" s="95"/>
      <c r="F13" s="87"/>
      <c r="G13" s="96" t="s">
        <v>442</v>
      </c>
      <c r="H13" s="97" t="str">
        <f t="shared" si="1"/>
        <v>N/A</v>
      </c>
      <c r="I13" s="97" t="str">
        <f t="shared" si="2"/>
        <v>N/A</v>
      </c>
      <c r="J13" s="98"/>
      <c r="K13" s="98"/>
      <c r="L13" s="99">
        <f t="shared" si="3"/>
        <v>0</v>
      </c>
      <c r="M13" s="104"/>
    </row>
    <row r="14">
      <c r="A14" s="102" t="s">
        <v>448</v>
      </c>
      <c r="B14" s="103"/>
      <c r="C14" s="96"/>
      <c r="D14" s="95"/>
      <c r="E14" s="95"/>
      <c r="F14" s="87"/>
      <c r="G14" s="96" t="s">
        <v>442</v>
      </c>
      <c r="H14" s="97" t="str">
        <f t="shared" si="1"/>
        <v>N/A</v>
      </c>
      <c r="I14" s="97" t="str">
        <f t="shared" si="2"/>
        <v>N/A</v>
      </c>
      <c r="J14" s="105"/>
      <c r="K14" s="105"/>
      <c r="L14" s="99">
        <f t="shared" si="3"/>
        <v>0</v>
      </c>
      <c r="M14" s="104"/>
    </row>
    <row r="15">
      <c r="A15" s="102" t="s">
        <v>449</v>
      </c>
      <c r="B15" s="103"/>
      <c r="C15" s="96"/>
      <c r="D15" s="95"/>
      <c r="E15" s="95"/>
      <c r="F15" s="87"/>
      <c r="G15" s="87" t="s">
        <v>450</v>
      </c>
      <c r="H15" s="97" t="str">
        <f t="shared" si="1"/>
        <v>N/A</v>
      </c>
      <c r="I15" s="97" t="str">
        <f t="shared" si="2"/>
        <v>N/A</v>
      </c>
      <c r="J15" s="105"/>
      <c r="K15" s="105"/>
      <c r="L15" s="99">
        <f t="shared" si="3"/>
        <v>0</v>
      </c>
      <c r="M15" s="104"/>
    </row>
    <row r="16">
      <c r="A16" s="102" t="s">
        <v>451</v>
      </c>
      <c r="B16" s="103"/>
      <c r="C16" s="96"/>
      <c r="D16" s="95"/>
      <c r="E16" s="95"/>
      <c r="F16" s="87"/>
      <c r="G16" s="87" t="s">
        <v>450</v>
      </c>
      <c r="H16" s="97" t="str">
        <f t="shared" si="1"/>
        <v>N/A</v>
      </c>
      <c r="I16" s="97" t="str">
        <f t="shared" si="2"/>
        <v>N/A</v>
      </c>
      <c r="J16" s="105"/>
      <c r="K16" s="105"/>
      <c r="L16" s="99">
        <f t="shared" si="3"/>
        <v>0</v>
      </c>
      <c r="M16" s="87"/>
    </row>
    <row r="17">
      <c r="A17" s="78"/>
      <c r="B17" s="78"/>
      <c r="C17" s="78"/>
      <c r="D17" s="79"/>
      <c r="E17" s="79"/>
      <c r="F17" s="79"/>
      <c r="G17" s="78"/>
      <c r="H17" s="78"/>
      <c r="I17" s="78"/>
      <c r="J17" s="78"/>
      <c r="K17" s="78"/>
      <c r="L17" s="78"/>
      <c r="M17" s="78"/>
    </row>
    <row r="18">
      <c r="A18" s="78"/>
      <c r="B18" s="80"/>
      <c r="C18" s="80"/>
      <c r="D18" s="79"/>
      <c r="E18" s="79"/>
      <c r="F18" s="79"/>
      <c r="G18" s="78"/>
      <c r="H18" s="78"/>
      <c r="I18" s="78"/>
      <c r="J18" s="78"/>
      <c r="K18" s="78"/>
      <c r="L18" s="78"/>
      <c r="M18" s="78"/>
    </row>
    <row r="19">
      <c r="A19" s="71"/>
      <c r="B19" s="81" t="s">
        <v>423</v>
      </c>
      <c r="C19" s="82"/>
      <c r="D19" s="79"/>
      <c r="E19" s="79"/>
      <c r="F19" s="79"/>
      <c r="G19" s="78"/>
      <c r="H19" s="78"/>
      <c r="I19" s="78"/>
      <c r="J19" s="83"/>
      <c r="K19" s="83"/>
      <c r="L19" s="83"/>
      <c r="M19" s="106"/>
    </row>
    <row r="20">
      <c r="A20" s="71"/>
      <c r="B20" s="81" t="s">
        <v>430</v>
      </c>
      <c r="C20" s="107"/>
      <c r="D20" s="85"/>
      <c r="E20" s="85"/>
      <c r="F20" s="85"/>
      <c r="G20" s="80"/>
      <c r="H20" s="80"/>
      <c r="I20" s="80"/>
      <c r="J20" s="86"/>
      <c r="K20" s="86"/>
      <c r="L20" s="86"/>
      <c r="M20" s="80"/>
    </row>
    <row r="21">
      <c r="A21" s="87"/>
      <c r="B21" s="88" t="s">
        <v>431</v>
      </c>
      <c r="C21" s="89" t="s">
        <v>432</v>
      </c>
      <c r="D21" s="90" t="s">
        <v>433</v>
      </c>
      <c r="E21" s="90" t="s">
        <v>434</v>
      </c>
      <c r="F21" s="91" t="s">
        <v>435</v>
      </c>
      <c r="G21" s="88" t="s">
        <v>12</v>
      </c>
      <c r="H21" s="88" t="s">
        <v>436</v>
      </c>
      <c r="I21" s="88" t="s">
        <v>437</v>
      </c>
      <c r="J21" s="72" t="s">
        <v>438</v>
      </c>
      <c r="K21" s="72" t="s">
        <v>439</v>
      </c>
      <c r="L21" s="72" t="s">
        <v>440</v>
      </c>
      <c r="M21" s="88" t="s">
        <v>441</v>
      </c>
    </row>
    <row r="22">
      <c r="A22" s="102" t="s">
        <v>452</v>
      </c>
      <c r="B22" s="101"/>
      <c r="C22" s="94"/>
      <c r="D22" s="108"/>
      <c r="E22" s="108"/>
      <c r="F22" s="109"/>
      <c r="G22" s="94" t="s">
        <v>442</v>
      </c>
      <c r="H22" s="110" t="str">
        <f t="shared" ref="H22:H34" si="4">IF(D22="","N/A",(E22-D22+1))</f>
        <v>N/A</v>
      </c>
      <c r="I22" s="110" t="str">
        <f t="shared" ref="I22:I34" si="5">IF(D22="","N/A",(D22-$M$1))</f>
        <v>N/A</v>
      </c>
      <c r="J22" s="111"/>
      <c r="K22" s="111"/>
      <c r="L22" s="112">
        <f t="shared" ref="L22:L34" si="6">IF(J22="",0,(K22-J22+1))</f>
        <v>0</v>
      </c>
      <c r="M22" s="113"/>
    </row>
    <row r="23">
      <c r="A23" s="102" t="s">
        <v>453</v>
      </c>
      <c r="B23" s="101"/>
      <c r="C23" s="94"/>
      <c r="D23" s="108"/>
      <c r="E23" s="108"/>
      <c r="F23" s="109"/>
      <c r="G23" s="94" t="s">
        <v>442</v>
      </c>
      <c r="H23" s="110" t="str">
        <f t="shared" si="4"/>
        <v>N/A</v>
      </c>
      <c r="I23" s="110" t="str">
        <f t="shared" si="5"/>
        <v>N/A</v>
      </c>
      <c r="J23" s="111"/>
      <c r="K23" s="111"/>
      <c r="L23" s="112">
        <f t="shared" si="6"/>
        <v>0</v>
      </c>
      <c r="M23" s="113"/>
    </row>
    <row r="24">
      <c r="A24" s="102" t="s">
        <v>454</v>
      </c>
      <c r="B24" s="101"/>
      <c r="C24" s="94"/>
      <c r="D24" s="108"/>
      <c r="E24" s="108"/>
      <c r="F24" s="109"/>
      <c r="G24" s="94" t="s">
        <v>442</v>
      </c>
      <c r="H24" s="110" t="str">
        <f t="shared" si="4"/>
        <v>N/A</v>
      </c>
      <c r="I24" s="110" t="str">
        <f t="shared" si="5"/>
        <v>N/A</v>
      </c>
      <c r="J24" s="111"/>
      <c r="K24" s="111"/>
      <c r="L24" s="112">
        <f t="shared" si="6"/>
        <v>0</v>
      </c>
      <c r="M24" s="113"/>
    </row>
    <row r="25">
      <c r="A25" s="102" t="s">
        <v>455</v>
      </c>
      <c r="B25" s="101"/>
      <c r="C25" s="94"/>
      <c r="D25" s="108"/>
      <c r="E25" s="108"/>
      <c r="F25" s="109"/>
      <c r="G25" s="94" t="s">
        <v>442</v>
      </c>
      <c r="H25" s="110" t="str">
        <f t="shared" si="4"/>
        <v>N/A</v>
      </c>
      <c r="I25" s="110" t="str">
        <f t="shared" si="5"/>
        <v>N/A</v>
      </c>
      <c r="J25" s="111"/>
      <c r="K25" s="111"/>
      <c r="L25" s="112">
        <f t="shared" si="6"/>
        <v>0</v>
      </c>
      <c r="M25" s="113"/>
    </row>
    <row r="26">
      <c r="A26" s="102" t="s">
        <v>456</v>
      </c>
      <c r="B26" s="101"/>
      <c r="C26" s="94"/>
      <c r="D26" s="108"/>
      <c r="E26" s="108"/>
      <c r="F26" s="109"/>
      <c r="G26" s="94" t="s">
        <v>442</v>
      </c>
      <c r="H26" s="110" t="str">
        <f t="shared" si="4"/>
        <v>N/A</v>
      </c>
      <c r="I26" s="110" t="str">
        <f t="shared" si="5"/>
        <v>N/A</v>
      </c>
      <c r="J26" s="111"/>
      <c r="K26" s="111"/>
      <c r="L26" s="112">
        <f t="shared" si="6"/>
        <v>0</v>
      </c>
      <c r="M26" s="113"/>
    </row>
    <row r="27">
      <c r="A27" s="102" t="s">
        <v>457</v>
      </c>
      <c r="B27" s="101"/>
      <c r="C27" s="94"/>
      <c r="D27" s="108"/>
      <c r="E27" s="108"/>
      <c r="F27" s="109"/>
      <c r="G27" s="94" t="s">
        <v>442</v>
      </c>
      <c r="H27" s="110" t="str">
        <f t="shared" si="4"/>
        <v>N/A</v>
      </c>
      <c r="I27" s="110" t="str">
        <f t="shared" si="5"/>
        <v>N/A</v>
      </c>
      <c r="J27" s="111"/>
      <c r="K27" s="111"/>
      <c r="L27" s="112">
        <f t="shared" si="6"/>
        <v>0</v>
      </c>
      <c r="M27" s="113"/>
    </row>
    <row r="28">
      <c r="A28" s="102" t="s">
        <v>458</v>
      </c>
      <c r="B28" s="101"/>
      <c r="C28" s="94"/>
      <c r="D28" s="108"/>
      <c r="E28" s="108"/>
      <c r="F28" s="109"/>
      <c r="G28" s="94" t="s">
        <v>442</v>
      </c>
      <c r="H28" s="110" t="str">
        <f t="shared" si="4"/>
        <v>N/A</v>
      </c>
      <c r="I28" s="110" t="str">
        <f t="shared" si="5"/>
        <v>N/A</v>
      </c>
      <c r="J28" s="111"/>
      <c r="K28" s="111"/>
      <c r="L28" s="112">
        <f t="shared" si="6"/>
        <v>0</v>
      </c>
      <c r="M28" s="113"/>
    </row>
    <row r="29">
      <c r="A29" s="102" t="s">
        <v>459</v>
      </c>
      <c r="B29" s="101"/>
      <c r="C29" s="94"/>
      <c r="D29" s="108"/>
      <c r="E29" s="108"/>
      <c r="F29" s="109"/>
      <c r="G29" s="94" t="s">
        <v>442</v>
      </c>
      <c r="H29" s="110" t="str">
        <f t="shared" si="4"/>
        <v>N/A</v>
      </c>
      <c r="I29" s="110" t="str">
        <f t="shared" si="5"/>
        <v>N/A</v>
      </c>
      <c r="J29" s="111"/>
      <c r="K29" s="111"/>
      <c r="L29" s="112">
        <f t="shared" si="6"/>
        <v>0</v>
      </c>
      <c r="M29" s="113"/>
    </row>
    <row r="30">
      <c r="A30" s="102" t="s">
        <v>460</v>
      </c>
      <c r="B30" s="101"/>
      <c r="C30" s="94"/>
      <c r="D30" s="108"/>
      <c r="E30" s="108"/>
      <c r="F30" s="109"/>
      <c r="G30" s="94" t="s">
        <v>442</v>
      </c>
      <c r="H30" s="110" t="str">
        <f t="shared" si="4"/>
        <v>N/A</v>
      </c>
      <c r="I30" s="110" t="str">
        <f t="shared" si="5"/>
        <v>N/A</v>
      </c>
      <c r="J30" s="111"/>
      <c r="K30" s="111"/>
      <c r="L30" s="112">
        <f t="shared" si="6"/>
        <v>0</v>
      </c>
      <c r="M30" s="113"/>
    </row>
    <row r="31">
      <c r="A31" s="102" t="s">
        <v>461</v>
      </c>
      <c r="B31" s="101"/>
      <c r="C31" s="94"/>
      <c r="D31" s="108"/>
      <c r="E31" s="108"/>
      <c r="F31" s="109"/>
      <c r="G31" s="94" t="s">
        <v>442</v>
      </c>
      <c r="H31" s="110" t="str">
        <f t="shared" si="4"/>
        <v>N/A</v>
      </c>
      <c r="I31" s="110" t="str">
        <f t="shared" si="5"/>
        <v>N/A</v>
      </c>
      <c r="J31" s="111"/>
      <c r="K31" s="111"/>
      <c r="L31" s="112">
        <f t="shared" si="6"/>
        <v>0</v>
      </c>
      <c r="M31" s="113"/>
    </row>
    <row r="32">
      <c r="A32" s="92" t="s">
        <v>462</v>
      </c>
      <c r="B32" s="101"/>
      <c r="C32" s="94"/>
      <c r="D32" s="108"/>
      <c r="E32" s="108"/>
      <c r="F32" s="109"/>
      <c r="G32" s="94" t="s">
        <v>442</v>
      </c>
      <c r="H32" s="110" t="str">
        <f t="shared" si="4"/>
        <v>N/A</v>
      </c>
      <c r="I32" s="110" t="str">
        <f t="shared" si="5"/>
        <v>N/A</v>
      </c>
      <c r="J32" s="111"/>
      <c r="K32" s="111"/>
      <c r="L32" s="112">
        <f t="shared" si="6"/>
        <v>0</v>
      </c>
      <c r="M32" s="113"/>
    </row>
    <row r="33">
      <c r="A33" s="92" t="s">
        <v>463</v>
      </c>
      <c r="B33" s="101"/>
      <c r="C33" s="94"/>
      <c r="D33" s="108"/>
      <c r="E33" s="108"/>
      <c r="F33" s="109"/>
      <c r="G33" s="94" t="s">
        <v>442</v>
      </c>
      <c r="H33" s="110" t="str">
        <f t="shared" si="4"/>
        <v>N/A</v>
      </c>
      <c r="I33" s="110" t="str">
        <f t="shared" si="5"/>
        <v>N/A</v>
      </c>
      <c r="J33" s="111"/>
      <c r="K33" s="111"/>
      <c r="L33" s="112">
        <f t="shared" si="6"/>
        <v>0</v>
      </c>
      <c r="M33" s="113"/>
    </row>
    <row r="34">
      <c r="A34" s="92" t="s">
        <v>464</v>
      </c>
      <c r="B34" s="101"/>
      <c r="C34" s="94"/>
      <c r="D34" s="108"/>
      <c r="E34" s="108"/>
      <c r="F34" s="109"/>
      <c r="G34" s="94" t="s">
        <v>442</v>
      </c>
      <c r="H34" s="110" t="str">
        <f t="shared" si="4"/>
        <v>N/A</v>
      </c>
      <c r="I34" s="110" t="str">
        <f t="shared" si="5"/>
        <v>N/A</v>
      </c>
      <c r="J34" s="111"/>
      <c r="K34" s="111"/>
      <c r="L34" s="112">
        <f t="shared" si="6"/>
        <v>0</v>
      </c>
      <c r="M34" s="113"/>
    </row>
    <row r="35">
      <c r="A35" s="78"/>
      <c r="B35" s="80"/>
      <c r="C35" s="80"/>
      <c r="D35" s="79"/>
      <c r="E35" s="79"/>
      <c r="F35" s="79"/>
      <c r="G35" s="78"/>
      <c r="H35" s="78"/>
      <c r="I35" s="78"/>
      <c r="J35" s="78"/>
      <c r="K35" s="78"/>
      <c r="L35" s="78"/>
      <c r="M35" s="78"/>
    </row>
    <row r="36">
      <c r="A36" s="71"/>
      <c r="B36" s="81" t="s">
        <v>423</v>
      </c>
      <c r="C36" s="82"/>
      <c r="D36" s="79"/>
      <c r="E36" s="79"/>
      <c r="F36" s="79"/>
      <c r="G36" s="78"/>
      <c r="H36" s="78"/>
      <c r="I36" s="78"/>
      <c r="J36" s="83"/>
      <c r="K36" s="83"/>
      <c r="L36" s="83"/>
      <c r="M36" s="78"/>
    </row>
    <row r="37">
      <c r="A37" s="71"/>
      <c r="B37" s="81" t="s">
        <v>430</v>
      </c>
      <c r="C37" s="82"/>
      <c r="D37" s="85"/>
      <c r="E37" s="85"/>
      <c r="F37" s="85"/>
      <c r="G37" s="80"/>
      <c r="H37" s="80"/>
      <c r="I37" s="80"/>
      <c r="J37" s="86"/>
      <c r="K37" s="86"/>
      <c r="L37" s="86"/>
      <c r="M37" s="80"/>
    </row>
    <row r="38">
      <c r="A38" s="87"/>
      <c r="B38" s="88" t="s">
        <v>431</v>
      </c>
      <c r="C38" s="89" t="s">
        <v>432</v>
      </c>
      <c r="D38" s="90" t="s">
        <v>433</v>
      </c>
      <c r="E38" s="90" t="s">
        <v>434</v>
      </c>
      <c r="F38" s="91" t="s">
        <v>435</v>
      </c>
      <c r="G38" s="88" t="s">
        <v>12</v>
      </c>
      <c r="H38" s="88" t="s">
        <v>436</v>
      </c>
      <c r="I38" s="88" t="s">
        <v>437</v>
      </c>
      <c r="J38" s="72" t="s">
        <v>438</v>
      </c>
      <c r="K38" s="72" t="s">
        <v>439</v>
      </c>
      <c r="L38" s="72" t="s">
        <v>440</v>
      </c>
      <c r="M38" s="88" t="s">
        <v>441</v>
      </c>
    </row>
    <row r="39">
      <c r="A39" s="102" t="s">
        <v>465</v>
      </c>
      <c r="B39" s="103"/>
      <c r="C39" s="96"/>
      <c r="D39" s="108"/>
      <c r="E39" s="108"/>
      <c r="F39" s="87"/>
      <c r="G39" s="96"/>
      <c r="H39" s="97" t="str">
        <f t="shared" ref="H39:H46" si="7">IF(D39="","N/A",(E39-D39+1))</f>
        <v>N/A</v>
      </c>
      <c r="I39" s="97" t="str">
        <f t="shared" ref="I39:I46" si="8">IF(D39="","N/A",(D39-$M$1))</f>
        <v>N/A</v>
      </c>
      <c r="J39" s="99"/>
      <c r="K39" s="99"/>
      <c r="L39" s="99">
        <f t="shared" ref="L39:L46" si="9">IF(J39="",0,(K39-J39+1))</f>
        <v>0</v>
      </c>
      <c r="M39" s="104"/>
    </row>
    <row r="40">
      <c r="A40" s="102" t="s">
        <v>467</v>
      </c>
      <c r="B40" s="114"/>
      <c r="C40" s="115"/>
      <c r="D40" s="108"/>
      <c r="E40" s="108"/>
      <c r="F40" s="96"/>
      <c r="G40" s="96"/>
      <c r="H40" s="97" t="str">
        <f t="shared" si="7"/>
        <v>N/A</v>
      </c>
      <c r="I40" s="97" t="str">
        <f t="shared" si="8"/>
        <v>N/A</v>
      </c>
      <c r="J40" s="105"/>
      <c r="K40" s="105"/>
      <c r="L40" s="99">
        <f t="shared" si="9"/>
        <v>0</v>
      </c>
      <c r="M40" s="87"/>
    </row>
    <row r="41">
      <c r="A41" s="116" t="s">
        <v>468</v>
      </c>
      <c r="B41" s="117"/>
      <c r="C41" s="118"/>
      <c r="D41" s="119"/>
      <c r="E41" s="108"/>
      <c r="F41" s="120"/>
      <c r="G41" s="96"/>
      <c r="H41" s="97" t="str">
        <f t="shared" si="7"/>
        <v>N/A</v>
      </c>
      <c r="I41" s="97" t="str">
        <f t="shared" si="8"/>
        <v>N/A</v>
      </c>
      <c r="J41" s="105"/>
      <c r="K41" s="105"/>
      <c r="L41" s="99">
        <f t="shared" si="9"/>
        <v>0</v>
      </c>
      <c r="M41" s="87"/>
    </row>
    <row r="42">
      <c r="A42" s="116" t="s">
        <v>469</v>
      </c>
      <c r="B42" s="117"/>
      <c r="C42" s="121"/>
      <c r="D42" s="119"/>
      <c r="E42" s="108"/>
      <c r="F42" s="120"/>
      <c r="G42" s="96"/>
      <c r="H42" s="97" t="str">
        <f t="shared" si="7"/>
        <v>N/A</v>
      </c>
      <c r="I42" s="97" t="str">
        <f t="shared" si="8"/>
        <v>N/A</v>
      </c>
      <c r="J42" s="105"/>
      <c r="K42" s="105"/>
      <c r="L42" s="99">
        <f t="shared" si="9"/>
        <v>0</v>
      </c>
      <c r="M42" s="87"/>
    </row>
    <row r="43">
      <c r="A43" s="102" t="s">
        <v>470</v>
      </c>
      <c r="B43" s="103"/>
      <c r="C43" s="121"/>
      <c r="D43" s="108"/>
      <c r="E43" s="108"/>
      <c r="F43" s="120"/>
      <c r="G43" s="96"/>
      <c r="H43" s="97" t="str">
        <f t="shared" si="7"/>
        <v>N/A</v>
      </c>
      <c r="I43" s="97" t="str">
        <f t="shared" si="8"/>
        <v>N/A</v>
      </c>
      <c r="J43" s="105"/>
      <c r="K43" s="105"/>
      <c r="L43" s="99">
        <f t="shared" si="9"/>
        <v>0</v>
      </c>
      <c r="M43" s="87"/>
    </row>
    <row r="44">
      <c r="A44" s="102" t="s">
        <v>471</v>
      </c>
      <c r="B44" s="103"/>
      <c r="C44" s="96"/>
      <c r="D44" s="108"/>
      <c r="E44" s="108"/>
      <c r="F44" s="120"/>
      <c r="G44" s="96"/>
      <c r="H44" s="97" t="str">
        <f t="shared" si="7"/>
        <v>N/A</v>
      </c>
      <c r="I44" s="97" t="str">
        <f t="shared" si="8"/>
        <v>N/A</v>
      </c>
      <c r="J44" s="105"/>
      <c r="K44" s="105"/>
      <c r="L44" s="99">
        <f t="shared" si="9"/>
        <v>0</v>
      </c>
      <c r="M44" s="104"/>
    </row>
    <row r="45">
      <c r="A45" s="102" t="s">
        <v>472</v>
      </c>
      <c r="B45" s="103"/>
      <c r="C45" s="96"/>
      <c r="D45" s="108"/>
      <c r="E45" s="108"/>
      <c r="F45" s="109"/>
      <c r="G45" s="96"/>
      <c r="H45" s="97" t="str">
        <f t="shared" si="7"/>
        <v>N/A</v>
      </c>
      <c r="I45" s="97" t="str">
        <f t="shared" si="8"/>
        <v>N/A</v>
      </c>
      <c r="J45" s="105"/>
      <c r="K45" s="105"/>
      <c r="L45" s="99">
        <f t="shared" si="9"/>
        <v>0</v>
      </c>
      <c r="M45" s="87"/>
    </row>
    <row r="46">
      <c r="A46" s="102" t="s">
        <v>473</v>
      </c>
      <c r="B46" s="122"/>
      <c r="C46" s="96"/>
      <c r="D46" s="108"/>
      <c r="E46" s="108"/>
      <c r="F46" s="109"/>
      <c r="G46" s="24"/>
      <c r="H46" s="97" t="str">
        <f t="shared" si="7"/>
        <v>N/A</v>
      </c>
      <c r="I46" s="97" t="str">
        <f t="shared" si="8"/>
        <v>N/A</v>
      </c>
      <c r="J46" s="105"/>
      <c r="K46" s="105"/>
      <c r="L46" s="99">
        <f t="shared" si="9"/>
        <v>0</v>
      </c>
      <c r="M46" s="113"/>
    </row>
    <row r="47">
      <c r="A47" s="78"/>
      <c r="B47" s="80"/>
      <c r="C47" s="80"/>
      <c r="D47" s="79"/>
      <c r="E47" s="79"/>
      <c r="F47" s="79"/>
      <c r="G47" s="78"/>
      <c r="H47" s="78"/>
      <c r="I47" s="78"/>
      <c r="J47" s="78"/>
      <c r="K47" s="78"/>
      <c r="L47" s="78"/>
      <c r="M47" s="78"/>
    </row>
    <row r="48">
      <c r="A48" s="78"/>
      <c r="B48" s="80"/>
      <c r="C48" s="80"/>
      <c r="D48" s="79"/>
      <c r="E48" s="79"/>
      <c r="F48" s="79"/>
      <c r="G48" s="78"/>
      <c r="H48" s="78"/>
      <c r="I48" s="78"/>
      <c r="J48" s="78"/>
      <c r="K48" s="78"/>
      <c r="L48" s="78"/>
      <c r="M48" s="78"/>
    </row>
    <row r="49">
      <c r="A49" s="71"/>
      <c r="B49" s="81" t="s">
        <v>423</v>
      </c>
      <c r="C49" s="82"/>
      <c r="D49" s="79"/>
      <c r="E49" s="79"/>
      <c r="F49" s="79"/>
      <c r="G49" s="78"/>
      <c r="H49" s="78"/>
      <c r="I49" s="78"/>
      <c r="J49" s="83"/>
      <c r="K49" s="83"/>
      <c r="L49" s="83"/>
      <c r="M49" s="78"/>
    </row>
    <row r="50">
      <c r="A50" s="71"/>
      <c r="B50" s="81" t="s">
        <v>430</v>
      </c>
      <c r="C50" s="82"/>
      <c r="D50" s="85"/>
      <c r="E50" s="85"/>
      <c r="F50" s="85"/>
      <c r="G50" s="80"/>
      <c r="H50" s="80"/>
      <c r="I50" s="80"/>
      <c r="J50" s="86"/>
      <c r="K50" s="86"/>
      <c r="L50" s="86"/>
      <c r="M50" s="80"/>
    </row>
    <row r="51">
      <c r="A51" s="87"/>
      <c r="B51" s="88" t="s">
        <v>431</v>
      </c>
      <c r="C51" s="89" t="s">
        <v>432</v>
      </c>
      <c r="D51" s="90" t="s">
        <v>433</v>
      </c>
      <c r="E51" s="90" t="s">
        <v>434</v>
      </c>
      <c r="F51" s="91" t="s">
        <v>435</v>
      </c>
      <c r="G51" s="88" t="s">
        <v>12</v>
      </c>
      <c r="H51" s="88" t="s">
        <v>436</v>
      </c>
      <c r="I51" s="88" t="s">
        <v>437</v>
      </c>
      <c r="J51" s="72" t="s">
        <v>474</v>
      </c>
      <c r="K51" s="72" t="s">
        <v>439</v>
      </c>
      <c r="L51" s="72" t="s">
        <v>440</v>
      </c>
      <c r="M51" s="88" t="s">
        <v>441</v>
      </c>
    </row>
    <row r="52">
      <c r="A52" s="102" t="s">
        <v>475</v>
      </c>
      <c r="B52" s="103"/>
      <c r="C52" s="96"/>
      <c r="D52" s="108"/>
      <c r="E52" s="108"/>
      <c r="F52" s="87"/>
      <c r="G52" s="96"/>
      <c r="H52" s="97" t="str">
        <f t="shared" ref="H52:H64" si="10">IF(D52="","N/A",(E52-D52+1))</f>
        <v>N/A</v>
      </c>
      <c r="I52" s="97" t="str">
        <f t="shared" ref="I52:I64" si="11">IF(D52="","N/A",(D52-$M$1))</f>
        <v>N/A</v>
      </c>
      <c r="J52" s="123"/>
      <c r="K52" s="123"/>
      <c r="L52" s="99">
        <f t="shared" ref="L52:L64" si="12">IF(J52="",0,(K52-J52+1))</f>
        <v>0</v>
      </c>
      <c r="M52" s="124"/>
    </row>
    <row r="53">
      <c r="A53" s="102" t="s">
        <v>476</v>
      </c>
      <c r="B53" s="103"/>
      <c r="C53" s="96"/>
      <c r="D53" s="108"/>
      <c r="E53" s="108"/>
      <c r="F53" s="87"/>
      <c r="G53" s="96"/>
      <c r="H53" s="97" t="str">
        <f t="shared" si="10"/>
        <v>N/A</v>
      </c>
      <c r="I53" s="97" t="str">
        <f t="shared" si="11"/>
        <v>N/A</v>
      </c>
      <c r="J53" s="125"/>
      <c r="K53" s="125"/>
      <c r="L53" s="99">
        <f t="shared" si="12"/>
        <v>0</v>
      </c>
      <c r="M53" s="87"/>
    </row>
    <row r="54">
      <c r="A54" s="102" t="s">
        <v>477</v>
      </c>
      <c r="B54" s="103"/>
      <c r="C54" s="96"/>
      <c r="D54" s="108"/>
      <c r="E54" s="108"/>
      <c r="F54" s="87"/>
      <c r="G54" s="96"/>
      <c r="H54" s="97" t="str">
        <f t="shared" si="10"/>
        <v>N/A</v>
      </c>
      <c r="I54" s="97" t="str">
        <f t="shared" si="11"/>
        <v>N/A</v>
      </c>
      <c r="J54" s="125"/>
      <c r="K54" s="125"/>
      <c r="L54" s="99">
        <f t="shared" si="12"/>
        <v>0</v>
      </c>
      <c r="M54" s="87"/>
    </row>
    <row r="55">
      <c r="A55" s="102" t="s">
        <v>478</v>
      </c>
      <c r="B55" s="103"/>
      <c r="C55" s="96"/>
      <c r="D55" s="108"/>
      <c r="E55" s="108"/>
      <c r="F55" s="87"/>
      <c r="G55" s="96"/>
      <c r="H55" s="97" t="str">
        <f t="shared" si="10"/>
        <v>N/A</v>
      </c>
      <c r="I55" s="97" t="str">
        <f t="shared" si="11"/>
        <v>N/A</v>
      </c>
      <c r="J55" s="125"/>
      <c r="K55" s="125"/>
      <c r="L55" s="99">
        <f t="shared" si="12"/>
        <v>0</v>
      </c>
      <c r="M55" s="87"/>
    </row>
    <row r="56">
      <c r="A56" s="102" t="s">
        <v>479</v>
      </c>
      <c r="B56" s="103"/>
      <c r="C56" s="96"/>
      <c r="D56" s="108"/>
      <c r="E56" s="108"/>
      <c r="F56" s="120"/>
      <c r="G56" s="96"/>
      <c r="H56" s="97" t="str">
        <f t="shared" si="10"/>
        <v>N/A</v>
      </c>
      <c r="I56" s="97" t="str">
        <f t="shared" si="11"/>
        <v>N/A</v>
      </c>
      <c r="J56" s="125"/>
      <c r="K56" s="125"/>
      <c r="L56" s="99">
        <f t="shared" si="12"/>
        <v>0</v>
      </c>
      <c r="M56" s="87"/>
    </row>
    <row r="57">
      <c r="A57" s="102" t="s">
        <v>480</v>
      </c>
      <c r="B57" s="103"/>
      <c r="C57" s="96"/>
      <c r="D57" s="108"/>
      <c r="E57" s="108"/>
      <c r="F57" s="120"/>
      <c r="G57" s="96"/>
      <c r="H57" s="97" t="str">
        <f t="shared" si="10"/>
        <v>N/A</v>
      </c>
      <c r="I57" s="97" t="str">
        <f t="shared" si="11"/>
        <v>N/A</v>
      </c>
      <c r="J57" s="125"/>
      <c r="K57" s="125"/>
      <c r="L57" s="99">
        <f t="shared" si="12"/>
        <v>0</v>
      </c>
      <c r="M57" s="87"/>
    </row>
    <row r="58">
      <c r="A58" s="102" t="s">
        <v>481</v>
      </c>
      <c r="B58" s="103"/>
      <c r="C58" s="96"/>
      <c r="D58" s="108"/>
      <c r="E58" s="108"/>
      <c r="F58" s="120"/>
      <c r="G58" s="96"/>
      <c r="H58" s="97" t="str">
        <f t="shared" si="10"/>
        <v>N/A</v>
      </c>
      <c r="I58" s="97" t="str">
        <f t="shared" si="11"/>
        <v>N/A</v>
      </c>
      <c r="J58" s="125"/>
      <c r="K58" s="125"/>
      <c r="L58" s="99">
        <f t="shared" si="12"/>
        <v>0</v>
      </c>
      <c r="M58" s="87"/>
    </row>
    <row r="59">
      <c r="A59" s="102" t="s">
        <v>482</v>
      </c>
      <c r="B59" s="103"/>
      <c r="C59" s="96"/>
      <c r="D59" s="108"/>
      <c r="E59" s="108"/>
      <c r="F59" s="120"/>
      <c r="G59" s="96"/>
      <c r="H59" s="97" t="str">
        <f t="shared" si="10"/>
        <v>N/A</v>
      </c>
      <c r="I59" s="97" t="str">
        <f t="shared" si="11"/>
        <v>N/A</v>
      </c>
      <c r="J59" s="125"/>
      <c r="K59" s="125"/>
      <c r="L59" s="99">
        <f t="shared" si="12"/>
        <v>0</v>
      </c>
      <c r="M59" s="87"/>
    </row>
    <row r="60">
      <c r="A60" s="102" t="s">
        <v>483</v>
      </c>
      <c r="B60" s="103"/>
      <c r="C60" s="96"/>
      <c r="D60" s="108"/>
      <c r="E60" s="108"/>
      <c r="F60" s="120"/>
      <c r="G60" s="96"/>
      <c r="H60" s="97" t="str">
        <f t="shared" si="10"/>
        <v>N/A</v>
      </c>
      <c r="I60" s="97" t="str">
        <f t="shared" si="11"/>
        <v>N/A</v>
      </c>
      <c r="J60" s="125"/>
      <c r="K60" s="126"/>
      <c r="L60" s="112">
        <f t="shared" si="12"/>
        <v>0</v>
      </c>
      <c r="M60" s="113"/>
    </row>
    <row r="61">
      <c r="A61" s="102" t="s">
        <v>484</v>
      </c>
      <c r="B61" s="103"/>
      <c r="C61" s="96"/>
      <c r="D61" s="108"/>
      <c r="E61" s="108"/>
      <c r="F61" s="109"/>
      <c r="G61" s="94"/>
      <c r="H61" s="110" t="str">
        <f t="shared" si="10"/>
        <v>N/A</v>
      </c>
      <c r="I61" s="110" t="str">
        <f t="shared" si="11"/>
        <v>N/A</v>
      </c>
      <c r="J61" s="126"/>
      <c r="K61" s="126"/>
      <c r="L61" s="112">
        <f t="shared" si="12"/>
        <v>0</v>
      </c>
      <c r="M61" s="113"/>
    </row>
    <row r="62">
      <c r="A62" s="102" t="s">
        <v>485</v>
      </c>
      <c r="B62" s="122"/>
      <c r="C62" s="96"/>
      <c r="D62" s="108"/>
      <c r="E62" s="108"/>
      <c r="F62" s="109"/>
      <c r="G62" s="94"/>
      <c r="H62" s="110" t="str">
        <f t="shared" si="10"/>
        <v>N/A</v>
      </c>
      <c r="I62" s="110" t="str">
        <f t="shared" si="11"/>
        <v>N/A</v>
      </c>
      <c r="J62" s="126"/>
      <c r="K62" s="126"/>
      <c r="L62" s="112">
        <f t="shared" si="12"/>
        <v>0</v>
      </c>
      <c r="M62" s="113"/>
    </row>
    <row r="63">
      <c r="A63" s="102" t="s">
        <v>486</v>
      </c>
      <c r="B63" s="122"/>
      <c r="C63" s="96"/>
      <c r="D63" s="108"/>
      <c r="E63" s="108"/>
      <c r="F63" s="109"/>
      <c r="G63" s="94"/>
      <c r="H63" s="110" t="str">
        <f t="shared" si="10"/>
        <v>N/A</v>
      </c>
      <c r="I63" s="110" t="str">
        <f t="shared" si="11"/>
        <v>N/A</v>
      </c>
      <c r="J63" s="126"/>
      <c r="K63" s="126"/>
      <c r="L63" s="112">
        <f t="shared" si="12"/>
        <v>0</v>
      </c>
      <c r="M63" s="113"/>
    </row>
    <row r="64">
      <c r="A64" s="102" t="s">
        <v>487</v>
      </c>
      <c r="B64" s="122"/>
      <c r="C64" s="96"/>
      <c r="D64" s="108"/>
      <c r="E64" s="108"/>
      <c r="F64" s="109"/>
      <c r="G64" s="94"/>
      <c r="H64" s="110" t="str">
        <f t="shared" si="10"/>
        <v>N/A</v>
      </c>
      <c r="I64" s="110" t="str">
        <f t="shared" si="11"/>
        <v>N/A</v>
      </c>
      <c r="J64" s="126"/>
      <c r="K64" s="126"/>
      <c r="L64" s="112">
        <f t="shared" si="12"/>
        <v>0</v>
      </c>
      <c r="M64" s="113"/>
    </row>
    <row r="65">
      <c r="A65" s="78"/>
      <c r="B65" s="80"/>
      <c r="C65" s="80"/>
      <c r="D65" s="79"/>
      <c r="E65" s="79"/>
      <c r="F65" s="79"/>
      <c r="G65" s="78"/>
      <c r="H65" s="78"/>
      <c r="I65" s="78"/>
      <c r="J65" s="78"/>
      <c r="K65" s="78"/>
      <c r="L65" s="78"/>
      <c r="M65" s="78"/>
    </row>
    <row r="66">
      <c r="A66" s="71"/>
      <c r="B66" s="81" t="s">
        <v>423</v>
      </c>
      <c r="C66" s="82"/>
      <c r="D66" s="79"/>
      <c r="E66" s="79"/>
      <c r="F66" s="79"/>
      <c r="G66" s="78"/>
      <c r="H66" s="78"/>
      <c r="I66" s="78"/>
      <c r="J66" s="83"/>
      <c r="K66" s="83"/>
      <c r="L66" s="83"/>
      <c r="M66" s="78"/>
    </row>
    <row r="67">
      <c r="A67" s="71"/>
      <c r="B67" s="81" t="s">
        <v>430</v>
      </c>
      <c r="C67" s="82"/>
      <c r="D67" s="85"/>
      <c r="E67" s="85"/>
      <c r="F67" s="85"/>
      <c r="G67" s="80"/>
      <c r="H67" s="80"/>
      <c r="I67" s="80"/>
      <c r="J67" s="86"/>
      <c r="K67" s="86"/>
      <c r="L67" s="86"/>
      <c r="M67" s="80"/>
    </row>
    <row r="68">
      <c r="A68" s="87"/>
      <c r="B68" s="88" t="s">
        <v>431</v>
      </c>
      <c r="C68" s="89" t="s">
        <v>432</v>
      </c>
      <c r="D68" s="90" t="s">
        <v>433</v>
      </c>
      <c r="E68" s="90" t="s">
        <v>434</v>
      </c>
      <c r="F68" s="91" t="s">
        <v>435</v>
      </c>
      <c r="G68" s="88" t="s">
        <v>12</v>
      </c>
      <c r="H68" s="88" t="s">
        <v>436</v>
      </c>
      <c r="I68" s="88" t="s">
        <v>437</v>
      </c>
      <c r="J68" s="72" t="s">
        <v>438</v>
      </c>
      <c r="K68" s="72" t="s">
        <v>439</v>
      </c>
      <c r="L68" s="72" t="s">
        <v>440</v>
      </c>
      <c r="M68" s="88" t="s">
        <v>441</v>
      </c>
    </row>
    <row r="69">
      <c r="A69" s="102" t="s">
        <v>489</v>
      </c>
      <c r="B69" s="103"/>
      <c r="C69" s="121"/>
      <c r="D69" s="127"/>
      <c r="E69" s="127"/>
      <c r="F69" s="120"/>
      <c r="G69" s="87"/>
      <c r="H69" s="97" t="str">
        <f t="shared" ref="H69:H72" si="13">IF(D69="","N/A",(E69-D69+1))</f>
        <v>N/A</v>
      </c>
      <c r="I69" s="97" t="str">
        <f>IF(D69="","N/A",(D69-'Community Work Plan - Uganda '!$M$1))</f>
        <v>N/A</v>
      </c>
      <c r="J69" s="98"/>
      <c r="K69" s="98"/>
      <c r="L69" s="99">
        <f t="shared" ref="L69:L74" si="14">IF(J69="",0,(K69-J69+1))</f>
        <v>0</v>
      </c>
      <c r="M69" s="104"/>
    </row>
    <row r="70">
      <c r="A70" s="102" t="s">
        <v>491</v>
      </c>
      <c r="B70" s="103"/>
      <c r="C70" s="121"/>
      <c r="D70" s="127"/>
      <c r="E70" s="127"/>
      <c r="F70" s="120"/>
      <c r="G70" s="87"/>
      <c r="H70" s="97" t="str">
        <f t="shared" si="13"/>
        <v>N/A</v>
      </c>
      <c r="I70" s="97" t="str">
        <f>IF(D70="","N/A",(D70-'Community Work Plan - Uganda '!$M$1))</f>
        <v>N/A</v>
      </c>
      <c r="J70" s="98"/>
      <c r="K70" s="98"/>
      <c r="L70" s="99">
        <f t="shared" si="14"/>
        <v>0</v>
      </c>
      <c r="M70" s="104"/>
    </row>
    <row r="71">
      <c r="A71" s="102" t="s">
        <v>493</v>
      </c>
      <c r="B71" s="103"/>
      <c r="C71" s="121"/>
      <c r="D71" s="127"/>
      <c r="E71" s="127"/>
      <c r="F71" s="120"/>
      <c r="G71" s="87"/>
      <c r="H71" s="97" t="str">
        <f t="shared" si="13"/>
        <v>N/A</v>
      </c>
      <c r="I71" s="97" t="str">
        <f>IF(D71="","N/A",(D71-'Community Work Plan - Uganda '!$M$1))</f>
        <v>N/A</v>
      </c>
      <c r="J71" s="98"/>
      <c r="K71" s="98"/>
      <c r="L71" s="99">
        <f t="shared" si="14"/>
        <v>0</v>
      </c>
      <c r="M71" s="124"/>
    </row>
    <row r="72">
      <c r="A72" s="102" t="s">
        <v>495</v>
      </c>
      <c r="B72" s="103"/>
      <c r="C72" s="121"/>
      <c r="D72" s="127"/>
      <c r="E72" s="127"/>
      <c r="F72" s="120"/>
      <c r="G72" s="87"/>
      <c r="H72" s="97" t="str">
        <f t="shared" si="13"/>
        <v>N/A</v>
      </c>
      <c r="I72" s="97" t="str">
        <f>IF(D72="","N/A",(D72-'Community Work Plan - Uganda '!$M$1))</f>
        <v>N/A</v>
      </c>
      <c r="J72" s="98"/>
      <c r="K72" s="98"/>
      <c r="L72" s="99">
        <f t="shared" si="14"/>
        <v>0</v>
      </c>
      <c r="M72" s="104"/>
    </row>
    <row r="73">
      <c r="A73" s="102"/>
      <c r="B73" s="103"/>
      <c r="C73" s="121"/>
      <c r="D73" s="127"/>
      <c r="E73" s="127"/>
      <c r="F73" s="120"/>
      <c r="G73" s="87"/>
      <c r="H73" s="97"/>
      <c r="I73" s="97"/>
      <c r="J73" s="128"/>
      <c r="K73" s="128"/>
      <c r="L73" s="99">
        <f t="shared" si="14"/>
        <v>0</v>
      </c>
      <c r="M73" s="124"/>
    </row>
    <row r="74">
      <c r="A74" s="102" t="s">
        <v>497</v>
      </c>
      <c r="B74" s="103"/>
      <c r="C74" s="121"/>
      <c r="D74" s="127"/>
      <c r="E74" s="127"/>
      <c r="F74" s="120"/>
      <c r="G74" s="87"/>
      <c r="H74" s="97" t="str">
        <f>IF(D74="","N/A",(E74-D74+1))</f>
        <v>N/A</v>
      </c>
      <c r="I74" s="97" t="str">
        <f>IF(D74="","N/A",(D74-'Community Work Plan - Uganda '!$M$1))</f>
        <v>N/A</v>
      </c>
      <c r="J74" s="128"/>
      <c r="K74" s="128"/>
      <c r="L74" s="99">
        <f t="shared" si="14"/>
        <v>0</v>
      </c>
      <c r="M74" s="104"/>
    </row>
    <row r="75">
      <c r="A75" s="78"/>
      <c r="B75" s="80"/>
      <c r="C75" s="80"/>
      <c r="D75" s="79"/>
      <c r="E75" s="79"/>
      <c r="F75" s="79"/>
      <c r="G75" s="78"/>
      <c r="H75" s="78"/>
      <c r="I75" s="78"/>
      <c r="J75" s="78"/>
      <c r="K75" s="78"/>
      <c r="L75" s="78"/>
      <c r="M75" s="78"/>
    </row>
    <row r="76">
      <c r="A76" s="78"/>
      <c r="B76" s="78"/>
      <c r="C76" s="78"/>
      <c r="D76" s="79"/>
      <c r="E76" s="79"/>
      <c r="F76" s="79"/>
      <c r="G76" s="78"/>
      <c r="H76" s="78"/>
      <c r="I76" s="78"/>
      <c r="J76" s="78"/>
      <c r="K76" s="78"/>
      <c r="L76" s="78"/>
      <c r="M76" s="78"/>
    </row>
    <row r="77">
      <c r="A77" s="78"/>
      <c r="B77" s="80"/>
      <c r="C77" s="80"/>
      <c r="D77" s="79"/>
      <c r="E77" s="79"/>
      <c r="F77" s="79"/>
      <c r="G77" s="78"/>
      <c r="H77" s="78"/>
      <c r="I77" s="78"/>
      <c r="J77" s="78"/>
      <c r="K77" s="78"/>
      <c r="L77" s="78"/>
      <c r="M77" s="78"/>
    </row>
    <row r="78">
      <c r="A78" s="71"/>
      <c r="B78" s="81" t="s">
        <v>423</v>
      </c>
      <c r="C78" s="82"/>
      <c r="D78" s="24"/>
      <c r="E78" s="79"/>
      <c r="F78" s="79"/>
      <c r="G78" s="78"/>
      <c r="H78" s="78"/>
      <c r="I78" s="78"/>
      <c r="J78" s="83"/>
      <c r="K78" s="83"/>
      <c r="L78" s="83"/>
      <c r="M78" s="78"/>
    </row>
    <row r="79">
      <c r="A79" s="71"/>
      <c r="B79" s="81" t="s">
        <v>430</v>
      </c>
      <c r="C79" s="82"/>
      <c r="D79" s="85"/>
      <c r="E79" s="85"/>
      <c r="F79" s="85"/>
      <c r="G79" s="80"/>
      <c r="H79" s="80"/>
      <c r="I79" s="80"/>
      <c r="J79" s="86"/>
      <c r="K79" s="86"/>
      <c r="L79" s="86"/>
      <c r="M79" s="80"/>
    </row>
    <row r="80">
      <c r="A80" s="87"/>
      <c r="B80" s="131" t="s">
        <v>431</v>
      </c>
      <c r="C80" s="89" t="s">
        <v>432</v>
      </c>
      <c r="D80" s="90" t="s">
        <v>433</v>
      </c>
      <c r="E80" s="90" t="s">
        <v>434</v>
      </c>
      <c r="F80" s="91" t="s">
        <v>435</v>
      </c>
      <c r="G80" s="88" t="s">
        <v>12</v>
      </c>
      <c r="H80" s="88" t="s">
        <v>436</v>
      </c>
      <c r="I80" s="88" t="s">
        <v>437</v>
      </c>
      <c r="J80" s="72" t="s">
        <v>438</v>
      </c>
      <c r="K80" s="72" t="s">
        <v>439</v>
      </c>
      <c r="L80" s="72" t="s">
        <v>440</v>
      </c>
      <c r="M80" s="88" t="s">
        <v>441</v>
      </c>
    </row>
    <row r="81">
      <c r="A81" s="102" t="s">
        <v>498</v>
      </c>
      <c r="B81" s="132"/>
      <c r="C81" s="87"/>
      <c r="D81" s="127"/>
      <c r="E81" s="127"/>
      <c r="F81" s="120"/>
      <c r="G81" s="87"/>
      <c r="H81" s="97" t="str">
        <f t="shared" ref="H81:H84" si="15">IF(D81="","N/A",(E81-D81+1))</f>
        <v>N/A</v>
      </c>
      <c r="I81" s="97" t="str">
        <f>IF(D81="","N/A",(D81-'Community Work Plan - Uganda '!$M$1))</f>
        <v>N/A</v>
      </c>
      <c r="J81" s="105"/>
      <c r="K81" s="105"/>
      <c r="L81" s="99">
        <f t="shared" ref="L81:L84" si="16">IFs(J81="",0,K81="",0,K81&lt;&gt;"",(K81-J81+1))</f>
        <v>0</v>
      </c>
      <c r="M81" s="87"/>
    </row>
    <row r="82">
      <c r="A82" s="102" t="s">
        <v>499</v>
      </c>
      <c r="B82" s="103"/>
      <c r="C82" s="87"/>
      <c r="D82" s="127"/>
      <c r="E82" s="127"/>
      <c r="F82" s="120"/>
      <c r="G82" s="87"/>
      <c r="H82" s="97" t="str">
        <f t="shared" si="15"/>
        <v>N/A</v>
      </c>
      <c r="I82" s="97" t="str">
        <f>IF(D82="","N/A",(D82-'Community Work Plan - Uganda '!$M$1))</f>
        <v>N/A</v>
      </c>
      <c r="J82" s="105"/>
      <c r="K82" s="105"/>
      <c r="L82" s="99">
        <f t="shared" si="16"/>
        <v>0</v>
      </c>
      <c r="M82" s="87"/>
    </row>
    <row r="83">
      <c r="A83" s="102" t="s">
        <v>500</v>
      </c>
      <c r="B83" s="103"/>
      <c r="C83" s="87"/>
      <c r="D83" s="127"/>
      <c r="E83" s="127"/>
      <c r="F83" s="120"/>
      <c r="G83" s="87"/>
      <c r="H83" s="97" t="str">
        <f t="shared" si="15"/>
        <v>N/A</v>
      </c>
      <c r="I83" s="97" t="str">
        <f>IF(D83="","N/A",(D83-'Community Work Plan - Uganda '!$M$1))</f>
        <v>N/A</v>
      </c>
      <c r="J83" s="105"/>
      <c r="K83" s="105"/>
      <c r="L83" s="99">
        <f t="shared" si="16"/>
        <v>0</v>
      </c>
      <c r="M83" s="87"/>
    </row>
    <row r="84">
      <c r="A84" s="102" t="s">
        <v>501</v>
      </c>
      <c r="B84" s="103"/>
      <c r="C84" s="87"/>
      <c r="D84" s="127"/>
      <c r="E84" s="127"/>
      <c r="F84" s="120"/>
      <c r="G84" s="87"/>
      <c r="H84" s="97" t="str">
        <f t="shared" si="15"/>
        <v>N/A</v>
      </c>
      <c r="I84" s="97" t="str">
        <f>IF(D84="","N/A",(D84-'Community Work Plan - Uganda '!$M$1))</f>
        <v>N/A</v>
      </c>
      <c r="J84" s="105"/>
      <c r="K84" s="105"/>
      <c r="L84" s="99">
        <f t="shared" si="16"/>
        <v>0</v>
      </c>
      <c r="M84" s="87"/>
    </row>
    <row r="85">
      <c r="A85" s="78"/>
      <c r="B85" s="78"/>
      <c r="C85" s="78"/>
      <c r="D85" s="79"/>
      <c r="E85" s="79"/>
      <c r="F85" s="79"/>
      <c r="G85" s="78"/>
      <c r="H85" s="78"/>
      <c r="I85" s="78"/>
      <c r="J85" s="78"/>
      <c r="K85" s="78"/>
      <c r="L85" s="78"/>
      <c r="M85" s="78"/>
    </row>
    <row r="86">
      <c r="A86" s="78"/>
      <c r="B86" s="80"/>
      <c r="C86" s="80"/>
      <c r="D86" s="79"/>
      <c r="E86" s="79"/>
      <c r="F86" s="79"/>
      <c r="G86" s="78"/>
      <c r="H86" s="78"/>
      <c r="I86" s="78"/>
      <c r="J86" s="78"/>
      <c r="K86" s="78"/>
      <c r="L86" s="78"/>
      <c r="M86" s="78"/>
    </row>
    <row r="87">
      <c r="A87" s="71"/>
      <c r="B87" s="81" t="s">
        <v>423</v>
      </c>
      <c r="C87" s="82"/>
      <c r="D87" s="79"/>
      <c r="E87" s="79"/>
      <c r="F87" s="79"/>
      <c r="G87" s="78"/>
      <c r="H87" s="78"/>
      <c r="I87" s="78"/>
      <c r="J87" s="83"/>
      <c r="K87" s="83"/>
      <c r="L87" s="83"/>
      <c r="M87" s="78"/>
    </row>
    <row r="88">
      <c r="A88" s="71"/>
      <c r="B88" s="81" t="s">
        <v>430</v>
      </c>
      <c r="C88" s="89"/>
      <c r="D88" s="85"/>
      <c r="E88" s="85"/>
      <c r="F88" s="85"/>
      <c r="G88" s="80"/>
      <c r="H88" s="80"/>
      <c r="I88" s="80"/>
      <c r="J88" s="86"/>
      <c r="K88" s="86"/>
      <c r="L88" s="86"/>
      <c r="M88" s="80"/>
    </row>
    <row r="89">
      <c r="A89" s="87"/>
      <c r="B89" s="131" t="s">
        <v>431</v>
      </c>
      <c r="C89" s="89" t="s">
        <v>432</v>
      </c>
      <c r="D89" s="90" t="s">
        <v>433</v>
      </c>
      <c r="E89" s="90" t="s">
        <v>434</v>
      </c>
      <c r="F89" s="91" t="s">
        <v>435</v>
      </c>
      <c r="G89" s="88" t="s">
        <v>12</v>
      </c>
      <c r="H89" s="88" t="s">
        <v>436</v>
      </c>
      <c r="I89" s="88" t="s">
        <v>437</v>
      </c>
      <c r="J89" s="72" t="s">
        <v>438</v>
      </c>
      <c r="K89" s="72" t="s">
        <v>439</v>
      </c>
      <c r="L89" s="72" t="s">
        <v>440</v>
      </c>
      <c r="M89" s="88" t="s">
        <v>441</v>
      </c>
    </row>
    <row r="90">
      <c r="A90" s="102" t="s">
        <v>502</v>
      </c>
      <c r="B90" s="133"/>
      <c r="C90" s="87"/>
      <c r="D90" s="120"/>
      <c r="E90" s="134"/>
      <c r="F90" s="120"/>
      <c r="G90" s="87"/>
      <c r="H90" s="97" t="str">
        <f t="shared" ref="H90:H94" si="17">IF(D90="","N/A",(E90-D90+1))</f>
        <v>N/A</v>
      </c>
      <c r="I90" s="97" t="str">
        <f>IF(D90="","N/A",(D90-'Community Work Plan - Uganda '!$M$1))</f>
        <v>N/A</v>
      </c>
      <c r="J90" s="99"/>
      <c r="K90" s="99"/>
      <c r="L90" s="99">
        <f t="shared" ref="L90:L94" si="18">IF(J90="",0,(K90-J90+1))</f>
        <v>0</v>
      </c>
      <c r="M90" s="87"/>
    </row>
    <row r="91">
      <c r="A91" s="102" t="s">
        <v>503</v>
      </c>
      <c r="B91" s="124"/>
      <c r="C91" s="87"/>
      <c r="D91" s="120"/>
      <c r="E91" s="120"/>
      <c r="F91" s="120"/>
      <c r="G91" s="87"/>
      <c r="H91" s="97" t="str">
        <f t="shared" si="17"/>
        <v>N/A</v>
      </c>
      <c r="I91" s="97" t="str">
        <f>IF(D91="","N/A",(D91-'Community Work Plan - Uganda '!$M$1))</f>
        <v>N/A</v>
      </c>
      <c r="J91" s="105"/>
      <c r="K91" s="105"/>
      <c r="L91" s="99">
        <f t="shared" si="18"/>
        <v>0</v>
      </c>
      <c r="M91" s="87"/>
    </row>
    <row r="92">
      <c r="A92" s="102" t="s">
        <v>504</v>
      </c>
      <c r="B92" s="124"/>
      <c r="C92" s="87"/>
      <c r="D92" s="120"/>
      <c r="E92" s="120"/>
      <c r="F92" s="120"/>
      <c r="G92" s="87"/>
      <c r="H92" s="97" t="str">
        <f t="shared" si="17"/>
        <v>N/A</v>
      </c>
      <c r="I92" s="97" t="str">
        <f>IF(D92="","N/A",(D92-'Community Work Plan - Uganda '!$M$1))</f>
        <v>N/A</v>
      </c>
      <c r="J92" s="105"/>
      <c r="K92" s="105"/>
      <c r="L92" s="99">
        <f t="shared" si="18"/>
        <v>0</v>
      </c>
      <c r="M92" s="87"/>
    </row>
    <row r="93">
      <c r="A93" s="102" t="s">
        <v>505</v>
      </c>
      <c r="B93" s="124"/>
      <c r="C93" s="87"/>
      <c r="D93" s="120"/>
      <c r="E93" s="120"/>
      <c r="F93" s="120"/>
      <c r="G93" s="87"/>
      <c r="H93" s="97" t="str">
        <f t="shared" si="17"/>
        <v>N/A</v>
      </c>
      <c r="I93" s="97" t="str">
        <f>IF(D93="","N/A",(D93-'Community Work Plan - Uganda '!$M$1))</f>
        <v>N/A</v>
      </c>
      <c r="J93" s="105"/>
      <c r="K93" s="105"/>
      <c r="L93" s="99">
        <f t="shared" si="18"/>
        <v>0</v>
      </c>
      <c r="M93" s="87"/>
    </row>
    <row r="94">
      <c r="A94" s="102" t="s">
        <v>506</v>
      </c>
      <c r="B94" s="124"/>
      <c r="C94" s="87"/>
      <c r="D94" s="120"/>
      <c r="E94" s="134"/>
      <c r="F94" s="120"/>
      <c r="G94" s="87"/>
      <c r="H94" s="97" t="str">
        <f t="shared" si="17"/>
        <v>N/A</v>
      </c>
      <c r="I94" s="97" t="str">
        <f>IF(D94="","N/A",(D94-'Community Work Plan - Uganda '!$M$1))</f>
        <v>N/A</v>
      </c>
      <c r="J94" s="105"/>
      <c r="K94" s="105"/>
      <c r="L94" s="99">
        <f t="shared" si="18"/>
        <v>0</v>
      </c>
      <c r="M94" s="87"/>
    </row>
  </sheetData>
  <mergeCells count="1">
    <mergeCell ref="A1:L1"/>
  </mergeCells>
  <dataValidations>
    <dataValidation type="custom" allowBlank="1" showDropDown="1" showInputMessage="1" showErrorMessage="1" prompt="Enter a valid date" sqref="E69:E74 E81:E84">
      <formula1>OR(NOT(ISERROR(DATEVALUE(E69))), AND(ISNUMBER(E69), LEFT(CELL("format", E69))="D"))</formula1>
    </dataValidation>
    <dataValidation type="date" operator="greaterThanOrEqual" allowBlank="1" showDropDown="1" showInputMessage="1" showErrorMessage="1" prompt="Enter a date on or after 02/27/2023" sqref="D8:E16 J8:K16 D22:E34 J22:K34 D39:E46 J39:K46 D52:E64 J52:K64 D69:D74 J69:K74 D81:D84 J81:K84 D90:D91 D92:E92 D93:D94 J90:K94">
      <formula1>44984.0</formula1>
    </dataValidation>
    <dataValidation type="list" allowBlank="1" showErrorMessage="1" sqref="G8:G16 G22:G34 G39:G46 G52:G64 G69:G74 G81:G84 G90:G94">
      <formula1>"Scheduled,In Progress-On Time,In Progress-Delayed,Not Started-Delayed,Completed-On Schedule,Completed-Delayed"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0"/>
    <col customWidth="1" min="5" max="5" width="18.0"/>
    <col customWidth="1" min="6" max="6" width="19.0"/>
    <col customWidth="1" min="8" max="8" width="24.38"/>
  </cols>
  <sheetData>
    <row r="1">
      <c r="A1" s="67" t="s">
        <v>508</v>
      </c>
      <c r="B1" s="68"/>
      <c r="C1" s="68"/>
      <c r="D1" s="68"/>
      <c r="E1" s="68"/>
      <c r="F1" s="68"/>
      <c r="G1" s="68"/>
      <c r="H1" s="68"/>
      <c r="I1" s="68"/>
      <c r="J1" s="68"/>
      <c r="K1" s="68"/>
      <c r="L1" s="69"/>
      <c r="M1" s="70">
        <f>TODAY()</f>
        <v>46325</v>
      </c>
    </row>
    <row r="2">
      <c r="A2" s="71"/>
      <c r="B2" s="72" t="s">
        <v>411</v>
      </c>
      <c r="C2" s="73" t="s">
        <v>413</v>
      </c>
      <c r="D2" s="74"/>
      <c r="E2" s="75" t="s">
        <v>416</v>
      </c>
      <c r="F2" s="76" t="s">
        <v>420</v>
      </c>
      <c r="G2" s="71"/>
      <c r="H2" s="75" t="s">
        <v>421</v>
      </c>
      <c r="I2" s="77" t="s">
        <v>422</v>
      </c>
      <c r="J2" s="78"/>
      <c r="K2" s="78"/>
      <c r="L2" s="78"/>
      <c r="M2" s="78"/>
    </row>
    <row r="3">
      <c r="A3" s="78"/>
      <c r="B3" s="78"/>
      <c r="C3" s="78"/>
      <c r="D3" s="79"/>
      <c r="E3" s="79"/>
      <c r="F3" s="79"/>
      <c r="G3" s="78"/>
      <c r="H3" s="78"/>
      <c r="I3" s="78"/>
      <c r="J3" s="78"/>
      <c r="K3" s="78"/>
      <c r="L3" s="78"/>
      <c r="M3" s="78"/>
    </row>
    <row r="4">
      <c r="A4" s="78"/>
      <c r="B4" s="80"/>
      <c r="C4" s="80"/>
      <c r="D4" s="79"/>
      <c r="E4" s="79"/>
      <c r="F4" s="79"/>
      <c r="G4" s="78"/>
      <c r="H4" s="78"/>
      <c r="I4" s="78"/>
      <c r="J4" s="78"/>
      <c r="K4" s="78"/>
      <c r="L4" s="78"/>
      <c r="M4" s="78"/>
    </row>
    <row r="5">
      <c r="A5" s="71"/>
      <c r="B5" s="81" t="s">
        <v>423</v>
      </c>
      <c r="C5" s="82"/>
      <c r="D5" s="79"/>
      <c r="E5" s="79"/>
      <c r="F5" s="79"/>
      <c r="G5" s="78"/>
      <c r="H5" s="78"/>
      <c r="I5" s="78"/>
      <c r="J5" s="83"/>
      <c r="K5" s="83"/>
      <c r="L5" s="83"/>
      <c r="M5" s="78"/>
    </row>
    <row r="6">
      <c r="A6" s="71"/>
      <c r="B6" s="81" t="s">
        <v>430</v>
      </c>
      <c r="C6" s="82"/>
      <c r="D6" s="84"/>
      <c r="E6" s="85"/>
      <c r="F6" s="85"/>
      <c r="G6" s="80"/>
      <c r="H6" s="80"/>
      <c r="I6" s="80"/>
      <c r="J6" s="86"/>
      <c r="K6" s="86"/>
      <c r="L6" s="86"/>
      <c r="M6" s="80"/>
    </row>
    <row r="7">
      <c r="A7" s="87"/>
      <c r="B7" s="88" t="s">
        <v>431</v>
      </c>
      <c r="C7" s="89" t="s">
        <v>432</v>
      </c>
      <c r="D7" s="90" t="s">
        <v>433</v>
      </c>
      <c r="E7" s="90" t="s">
        <v>434</v>
      </c>
      <c r="F7" s="91" t="s">
        <v>435</v>
      </c>
      <c r="G7" s="88" t="s">
        <v>12</v>
      </c>
      <c r="H7" s="88" t="s">
        <v>436</v>
      </c>
      <c r="I7" s="88" t="s">
        <v>437</v>
      </c>
      <c r="J7" s="72" t="s">
        <v>438</v>
      </c>
      <c r="K7" s="72" t="s">
        <v>439</v>
      </c>
      <c r="L7" s="72" t="s">
        <v>440</v>
      </c>
      <c r="M7" s="88" t="s">
        <v>441</v>
      </c>
    </row>
    <row r="8">
      <c r="A8" s="92"/>
      <c r="B8" s="93"/>
      <c r="C8" s="94"/>
      <c r="D8" s="95"/>
      <c r="E8" s="95"/>
      <c r="F8" s="87"/>
      <c r="G8" s="96" t="s">
        <v>442</v>
      </c>
      <c r="H8" s="97" t="str">
        <f t="shared" ref="H8:H16" si="1">IF(D8="","N/A",(E8-D8+1))</f>
        <v>N/A</v>
      </c>
      <c r="I8" s="97" t="str">
        <f t="shared" ref="I8:I16" si="2">IF(D8="","N/A",(D8-$M$1))</f>
        <v>N/A</v>
      </c>
      <c r="J8" s="98"/>
      <c r="K8" s="98"/>
      <c r="L8" s="99">
        <f t="shared" ref="L8:L16" si="3">IF(J8="",0,(K8-J8+1))</f>
        <v>0</v>
      </c>
      <c r="M8" s="100"/>
    </row>
    <row r="9">
      <c r="A9" s="92" t="s">
        <v>443</v>
      </c>
      <c r="B9" s="101"/>
      <c r="C9" s="94"/>
      <c r="D9" s="95"/>
      <c r="E9" s="95"/>
      <c r="F9" s="87"/>
      <c r="G9" s="96" t="s">
        <v>442</v>
      </c>
      <c r="H9" s="97" t="str">
        <f t="shared" si="1"/>
        <v>N/A</v>
      </c>
      <c r="I9" s="97" t="str">
        <f t="shared" si="2"/>
        <v>N/A</v>
      </c>
      <c r="J9" s="98"/>
      <c r="K9" s="98"/>
      <c r="L9" s="99">
        <f t="shared" si="3"/>
        <v>0</v>
      </c>
      <c r="M9" s="100"/>
    </row>
    <row r="10">
      <c r="A10" s="102" t="s">
        <v>444</v>
      </c>
      <c r="B10" s="103"/>
      <c r="C10" s="96"/>
      <c r="D10" s="95"/>
      <c r="E10" s="95"/>
      <c r="F10" s="87"/>
      <c r="G10" s="96" t="s">
        <v>442</v>
      </c>
      <c r="H10" s="97" t="str">
        <f t="shared" si="1"/>
        <v>N/A</v>
      </c>
      <c r="I10" s="97" t="str">
        <f t="shared" si="2"/>
        <v>N/A</v>
      </c>
      <c r="J10" s="98"/>
      <c r="K10" s="98"/>
      <c r="L10" s="99">
        <f t="shared" si="3"/>
        <v>0</v>
      </c>
      <c r="M10" s="100"/>
    </row>
    <row r="11">
      <c r="A11" s="102" t="s">
        <v>445</v>
      </c>
      <c r="B11" s="103"/>
      <c r="C11" s="96"/>
      <c r="D11" s="95"/>
      <c r="E11" s="95"/>
      <c r="F11" s="87"/>
      <c r="G11" s="96" t="s">
        <v>442</v>
      </c>
      <c r="H11" s="97" t="str">
        <f t="shared" si="1"/>
        <v>N/A</v>
      </c>
      <c r="I11" s="97" t="str">
        <f t="shared" si="2"/>
        <v>N/A</v>
      </c>
      <c r="J11" s="98"/>
      <c r="K11" s="98"/>
      <c r="L11" s="99">
        <f t="shared" si="3"/>
        <v>0</v>
      </c>
      <c r="M11" s="100"/>
    </row>
    <row r="12">
      <c r="A12" s="102" t="s">
        <v>446</v>
      </c>
      <c r="B12" s="103"/>
      <c r="C12" s="96"/>
      <c r="D12" s="95"/>
      <c r="E12" s="95"/>
      <c r="F12" s="87"/>
      <c r="G12" s="96" t="s">
        <v>442</v>
      </c>
      <c r="H12" s="97" t="str">
        <f t="shared" si="1"/>
        <v>N/A</v>
      </c>
      <c r="I12" s="97" t="str">
        <f t="shared" si="2"/>
        <v>N/A</v>
      </c>
      <c r="J12" s="98"/>
      <c r="K12" s="98"/>
      <c r="L12" s="99">
        <f t="shared" si="3"/>
        <v>0</v>
      </c>
      <c r="M12" s="104"/>
    </row>
    <row r="13">
      <c r="A13" s="102" t="s">
        <v>447</v>
      </c>
      <c r="B13" s="103"/>
      <c r="C13" s="96"/>
      <c r="D13" s="95"/>
      <c r="E13" s="95"/>
      <c r="F13" s="87"/>
      <c r="G13" s="96" t="s">
        <v>442</v>
      </c>
      <c r="H13" s="97" t="str">
        <f t="shared" si="1"/>
        <v>N/A</v>
      </c>
      <c r="I13" s="97" t="str">
        <f t="shared" si="2"/>
        <v>N/A</v>
      </c>
      <c r="J13" s="98"/>
      <c r="K13" s="98"/>
      <c r="L13" s="99">
        <f t="shared" si="3"/>
        <v>0</v>
      </c>
      <c r="M13" s="104"/>
    </row>
    <row r="14">
      <c r="A14" s="102" t="s">
        <v>448</v>
      </c>
      <c r="B14" s="103"/>
      <c r="C14" s="96"/>
      <c r="D14" s="95"/>
      <c r="E14" s="95"/>
      <c r="F14" s="87"/>
      <c r="G14" s="96" t="s">
        <v>442</v>
      </c>
      <c r="H14" s="97" t="str">
        <f t="shared" si="1"/>
        <v>N/A</v>
      </c>
      <c r="I14" s="97" t="str">
        <f t="shared" si="2"/>
        <v>N/A</v>
      </c>
      <c r="J14" s="105"/>
      <c r="K14" s="105"/>
      <c r="L14" s="99">
        <f t="shared" si="3"/>
        <v>0</v>
      </c>
      <c r="M14" s="104"/>
    </row>
    <row r="15">
      <c r="A15" s="102" t="s">
        <v>449</v>
      </c>
      <c r="B15" s="103"/>
      <c r="C15" s="96"/>
      <c r="D15" s="95"/>
      <c r="E15" s="95"/>
      <c r="F15" s="87"/>
      <c r="G15" s="87" t="s">
        <v>450</v>
      </c>
      <c r="H15" s="97" t="str">
        <f t="shared" si="1"/>
        <v>N/A</v>
      </c>
      <c r="I15" s="97" t="str">
        <f t="shared" si="2"/>
        <v>N/A</v>
      </c>
      <c r="J15" s="105"/>
      <c r="K15" s="105"/>
      <c r="L15" s="99">
        <f t="shared" si="3"/>
        <v>0</v>
      </c>
      <c r="M15" s="104"/>
    </row>
    <row r="16">
      <c r="A16" s="102" t="s">
        <v>451</v>
      </c>
      <c r="B16" s="103"/>
      <c r="C16" s="96"/>
      <c r="D16" s="95"/>
      <c r="E16" s="95"/>
      <c r="F16" s="87"/>
      <c r="G16" s="87" t="s">
        <v>450</v>
      </c>
      <c r="H16" s="97" t="str">
        <f t="shared" si="1"/>
        <v>N/A</v>
      </c>
      <c r="I16" s="97" t="str">
        <f t="shared" si="2"/>
        <v>N/A</v>
      </c>
      <c r="J16" s="105"/>
      <c r="K16" s="105"/>
      <c r="L16" s="99">
        <f t="shared" si="3"/>
        <v>0</v>
      </c>
      <c r="M16" s="87"/>
    </row>
    <row r="17">
      <c r="A17" s="78"/>
      <c r="B17" s="78"/>
      <c r="C17" s="78"/>
      <c r="D17" s="79"/>
      <c r="E17" s="79"/>
      <c r="F17" s="79"/>
      <c r="G17" s="78"/>
      <c r="H17" s="78"/>
      <c r="I17" s="78"/>
      <c r="J17" s="78"/>
      <c r="K17" s="78"/>
      <c r="L17" s="78"/>
      <c r="M17" s="78"/>
    </row>
    <row r="18">
      <c r="A18" s="78"/>
      <c r="B18" s="80"/>
      <c r="C18" s="80"/>
      <c r="D18" s="79"/>
      <c r="E18" s="79"/>
      <c r="F18" s="79"/>
      <c r="G18" s="78"/>
      <c r="H18" s="78"/>
      <c r="I18" s="78"/>
      <c r="J18" s="78"/>
      <c r="K18" s="78"/>
      <c r="L18" s="78"/>
      <c r="M18" s="78"/>
    </row>
    <row r="19">
      <c r="A19" s="71"/>
      <c r="B19" s="81" t="s">
        <v>423</v>
      </c>
      <c r="C19" s="82"/>
      <c r="D19" s="79"/>
      <c r="E19" s="79"/>
      <c r="F19" s="79"/>
      <c r="G19" s="78"/>
      <c r="H19" s="78"/>
      <c r="I19" s="78"/>
      <c r="J19" s="83"/>
      <c r="K19" s="83"/>
      <c r="L19" s="83"/>
      <c r="M19" s="106"/>
    </row>
    <row r="20">
      <c r="A20" s="71"/>
      <c r="B20" s="81" t="s">
        <v>430</v>
      </c>
      <c r="C20" s="107"/>
      <c r="D20" s="85"/>
      <c r="E20" s="85"/>
      <c r="F20" s="85"/>
      <c r="G20" s="80"/>
      <c r="H20" s="80"/>
      <c r="I20" s="80"/>
      <c r="J20" s="86"/>
      <c r="K20" s="86"/>
      <c r="L20" s="86"/>
      <c r="M20" s="80"/>
    </row>
    <row r="21">
      <c r="A21" s="87"/>
      <c r="B21" s="88" t="s">
        <v>431</v>
      </c>
      <c r="C21" s="89" t="s">
        <v>432</v>
      </c>
      <c r="D21" s="90" t="s">
        <v>433</v>
      </c>
      <c r="E21" s="90" t="s">
        <v>434</v>
      </c>
      <c r="F21" s="91" t="s">
        <v>435</v>
      </c>
      <c r="G21" s="88" t="s">
        <v>12</v>
      </c>
      <c r="H21" s="88" t="s">
        <v>436</v>
      </c>
      <c r="I21" s="88" t="s">
        <v>437</v>
      </c>
      <c r="J21" s="72" t="s">
        <v>438</v>
      </c>
      <c r="K21" s="72" t="s">
        <v>439</v>
      </c>
      <c r="L21" s="72" t="s">
        <v>440</v>
      </c>
      <c r="M21" s="88" t="s">
        <v>441</v>
      </c>
    </row>
    <row r="22">
      <c r="A22" s="102" t="s">
        <v>452</v>
      </c>
      <c r="B22" s="101"/>
      <c r="C22" s="94"/>
      <c r="D22" s="108"/>
      <c r="E22" s="108"/>
      <c r="F22" s="109"/>
      <c r="G22" s="94" t="s">
        <v>442</v>
      </c>
      <c r="H22" s="110" t="str">
        <f t="shared" ref="H22:H34" si="4">IF(D22="","N/A",(E22-D22+1))</f>
        <v>N/A</v>
      </c>
      <c r="I22" s="110" t="str">
        <f t="shared" ref="I22:I34" si="5">IF(D22="","N/A",(D22-$M$1))</f>
        <v>N/A</v>
      </c>
      <c r="J22" s="111"/>
      <c r="K22" s="111"/>
      <c r="L22" s="112">
        <f t="shared" ref="L22:L34" si="6">IF(J22="",0,(K22-J22+1))</f>
        <v>0</v>
      </c>
      <c r="M22" s="113"/>
    </row>
    <row r="23">
      <c r="A23" s="102" t="s">
        <v>453</v>
      </c>
      <c r="B23" s="101"/>
      <c r="C23" s="94"/>
      <c r="D23" s="108"/>
      <c r="E23" s="108"/>
      <c r="F23" s="109"/>
      <c r="G23" s="94" t="s">
        <v>442</v>
      </c>
      <c r="H23" s="110" t="str">
        <f t="shared" si="4"/>
        <v>N/A</v>
      </c>
      <c r="I23" s="110" t="str">
        <f t="shared" si="5"/>
        <v>N/A</v>
      </c>
      <c r="J23" s="111"/>
      <c r="K23" s="111"/>
      <c r="L23" s="112">
        <f t="shared" si="6"/>
        <v>0</v>
      </c>
      <c r="M23" s="113"/>
    </row>
    <row r="24">
      <c r="A24" s="102" t="s">
        <v>454</v>
      </c>
      <c r="B24" s="101"/>
      <c r="C24" s="94"/>
      <c r="D24" s="108"/>
      <c r="E24" s="108"/>
      <c r="F24" s="109"/>
      <c r="G24" s="94" t="s">
        <v>442</v>
      </c>
      <c r="H24" s="110" t="str">
        <f t="shared" si="4"/>
        <v>N/A</v>
      </c>
      <c r="I24" s="110" t="str">
        <f t="shared" si="5"/>
        <v>N/A</v>
      </c>
      <c r="J24" s="111"/>
      <c r="K24" s="111"/>
      <c r="L24" s="112">
        <f t="shared" si="6"/>
        <v>0</v>
      </c>
      <c r="M24" s="113"/>
    </row>
    <row r="25">
      <c r="A25" s="102" t="s">
        <v>455</v>
      </c>
      <c r="B25" s="101"/>
      <c r="C25" s="94"/>
      <c r="D25" s="108"/>
      <c r="E25" s="108"/>
      <c r="F25" s="109"/>
      <c r="G25" s="94" t="s">
        <v>442</v>
      </c>
      <c r="H25" s="110" t="str">
        <f t="shared" si="4"/>
        <v>N/A</v>
      </c>
      <c r="I25" s="110" t="str">
        <f t="shared" si="5"/>
        <v>N/A</v>
      </c>
      <c r="J25" s="111"/>
      <c r="K25" s="111"/>
      <c r="L25" s="112">
        <f t="shared" si="6"/>
        <v>0</v>
      </c>
      <c r="M25" s="113"/>
    </row>
    <row r="26">
      <c r="A26" s="102" t="s">
        <v>456</v>
      </c>
      <c r="B26" s="101"/>
      <c r="C26" s="94"/>
      <c r="D26" s="108"/>
      <c r="E26" s="108"/>
      <c r="F26" s="109"/>
      <c r="G26" s="94" t="s">
        <v>442</v>
      </c>
      <c r="H26" s="110" t="str">
        <f t="shared" si="4"/>
        <v>N/A</v>
      </c>
      <c r="I26" s="110" t="str">
        <f t="shared" si="5"/>
        <v>N/A</v>
      </c>
      <c r="J26" s="111"/>
      <c r="K26" s="111"/>
      <c r="L26" s="112">
        <f t="shared" si="6"/>
        <v>0</v>
      </c>
      <c r="M26" s="113"/>
    </row>
    <row r="27">
      <c r="A27" s="102" t="s">
        <v>457</v>
      </c>
      <c r="B27" s="101"/>
      <c r="C27" s="94"/>
      <c r="D27" s="108"/>
      <c r="E27" s="108"/>
      <c r="F27" s="109"/>
      <c r="G27" s="94" t="s">
        <v>442</v>
      </c>
      <c r="H27" s="110" t="str">
        <f t="shared" si="4"/>
        <v>N/A</v>
      </c>
      <c r="I27" s="110" t="str">
        <f t="shared" si="5"/>
        <v>N/A</v>
      </c>
      <c r="J27" s="111"/>
      <c r="K27" s="111"/>
      <c r="L27" s="112">
        <f t="shared" si="6"/>
        <v>0</v>
      </c>
      <c r="M27" s="113"/>
    </row>
    <row r="28">
      <c r="A28" s="102" t="s">
        <v>458</v>
      </c>
      <c r="B28" s="101"/>
      <c r="C28" s="94"/>
      <c r="D28" s="108"/>
      <c r="E28" s="108"/>
      <c r="F28" s="109"/>
      <c r="G28" s="94" t="s">
        <v>442</v>
      </c>
      <c r="H28" s="110" t="str">
        <f t="shared" si="4"/>
        <v>N/A</v>
      </c>
      <c r="I28" s="110" t="str">
        <f t="shared" si="5"/>
        <v>N/A</v>
      </c>
      <c r="J28" s="111"/>
      <c r="K28" s="111"/>
      <c r="L28" s="112">
        <f t="shared" si="6"/>
        <v>0</v>
      </c>
      <c r="M28" s="113"/>
    </row>
    <row r="29">
      <c r="A29" s="102" t="s">
        <v>459</v>
      </c>
      <c r="B29" s="101"/>
      <c r="C29" s="94"/>
      <c r="D29" s="108"/>
      <c r="E29" s="108"/>
      <c r="F29" s="109"/>
      <c r="G29" s="94" t="s">
        <v>442</v>
      </c>
      <c r="H29" s="110" t="str">
        <f t="shared" si="4"/>
        <v>N/A</v>
      </c>
      <c r="I29" s="110" t="str">
        <f t="shared" si="5"/>
        <v>N/A</v>
      </c>
      <c r="J29" s="111"/>
      <c r="K29" s="111"/>
      <c r="L29" s="112">
        <f t="shared" si="6"/>
        <v>0</v>
      </c>
      <c r="M29" s="113"/>
    </row>
    <row r="30">
      <c r="A30" s="102" t="s">
        <v>460</v>
      </c>
      <c r="B30" s="101"/>
      <c r="C30" s="94"/>
      <c r="D30" s="108"/>
      <c r="E30" s="108"/>
      <c r="F30" s="109"/>
      <c r="G30" s="94" t="s">
        <v>442</v>
      </c>
      <c r="H30" s="110" t="str">
        <f t="shared" si="4"/>
        <v>N/A</v>
      </c>
      <c r="I30" s="110" t="str">
        <f t="shared" si="5"/>
        <v>N/A</v>
      </c>
      <c r="J30" s="111"/>
      <c r="K30" s="111"/>
      <c r="L30" s="112">
        <f t="shared" si="6"/>
        <v>0</v>
      </c>
      <c r="M30" s="113"/>
    </row>
    <row r="31">
      <c r="A31" s="102" t="s">
        <v>461</v>
      </c>
      <c r="B31" s="101"/>
      <c r="C31" s="94"/>
      <c r="D31" s="108"/>
      <c r="E31" s="108"/>
      <c r="F31" s="109"/>
      <c r="G31" s="94" t="s">
        <v>442</v>
      </c>
      <c r="H31" s="110" t="str">
        <f t="shared" si="4"/>
        <v>N/A</v>
      </c>
      <c r="I31" s="110" t="str">
        <f t="shared" si="5"/>
        <v>N/A</v>
      </c>
      <c r="J31" s="111"/>
      <c r="K31" s="111"/>
      <c r="L31" s="112">
        <f t="shared" si="6"/>
        <v>0</v>
      </c>
      <c r="M31" s="113"/>
    </row>
    <row r="32">
      <c r="A32" s="92" t="s">
        <v>462</v>
      </c>
      <c r="B32" s="101"/>
      <c r="C32" s="94"/>
      <c r="D32" s="108"/>
      <c r="E32" s="108"/>
      <c r="F32" s="109"/>
      <c r="G32" s="94" t="s">
        <v>442</v>
      </c>
      <c r="H32" s="110" t="str">
        <f t="shared" si="4"/>
        <v>N/A</v>
      </c>
      <c r="I32" s="110" t="str">
        <f t="shared" si="5"/>
        <v>N/A</v>
      </c>
      <c r="J32" s="111"/>
      <c r="K32" s="111"/>
      <c r="L32" s="112">
        <f t="shared" si="6"/>
        <v>0</v>
      </c>
      <c r="M32" s="113"/>
    </row>
    <row r="33">
      <c r="A33" s="92" t="s">
        <v>463</v>
      </c>
      <c r="B33" s="101"/>
      <c r="C33" s="94"/>
      <c r="D33" s="108"/>
      <c r="E33" s="108"/>
      <c r="F33" s="109"/>
      <c r="G33" s="94" t="s">
        <v>442</v>
      </c>
      <c r="H33" s="110" t="str">
        <f t="shared" si="4"/>
        <v>N/A</v>
      </c>
      <c r="I33" s="110" t="str">
        <f t="shared" si="5"/>
        <v>N/A</v>
      </c>
      <c r="J33" s="111"/>
      <c r="K33" s="111"/>
      <c r="L33" s="112">
        <f t="shared" si="6"/>
        <v>0</v>
      </c>
      <c r="M33" s="113"/>
    </row>
    <row r="34">
      <c r="A34" s="92" t="s">
        <v>464</v>
      </c>
      <c r="B34" s="101"/>
      <c r="C34" s="94"/>
      <c r="D34" s="108"/>
      <c r="E34" s="108"/>
      <c r="F34" s="109"/>
      <c r="G34" s="94" t="s">
        <v>442</v>
      </c>
      <c r="H34" s="110" t="str">
        <f t="shared" si="4"/>
        <v>N/A</v>
      </c>
      <c r="I34" s="110" t="str">
        <f t="shared" si="5"/>
        <v>N/A</v>
      </c>
      <c r="J34" s="111"/>
      <c r="K34" s="111"/>
      <c r="L34" s="112">
        <f t="shared" si="6"/>
        <v>0</v>
      </c>
      <c r="M34" s="113"/>
    </row>
    <row r="35">
      <c r="A35" s="78"/>
      <c r="B35" s="80"/>
      <c r="C35" s="80"/>
      <c r="D35" s="79"/>
      <c r="E35" s="79"/>
      <c r="F35" s="79"/>
      <c r="G35" s="78"/>
      <c r="H35" s="78"/>
      <c r="I35" s="78"/>
      <c r="J35" s="78"/>
      <c r="K35" s="78"/>
      <c r="L35" s="78"/>
      <c r="M35" s="78"/>
    </row>
    <row r="36">
      <c r="A36" s="71"/>
      <c r="B36" s="81" t="s">
        <v>423</v>
      </c>
      <c r="C36" s="82"/>
      <c r="D36" s="79"/>
      <c r="E36" s="79"/>
      <c r="F36" s="79"/>
      <c r="G36" s="78"/>
      <c r="H36" s="78"/>
      <c r="I36" s="78"/>
      <c r="J36" s="83"/>
      <c r="K36" s="83"/>
      <c r="L36" s="83"/>
      <c r="M36" s="78"/>
    </row>
    <row r="37">
      <c r="A37" s="71"/>
      <c r="B37" s="81" t="s">
        <v>430</v>
      </c>
      <c r="C37" s="82"/>
      <c r="D37" s="85"/>
      <c r="E37" s="85"/>
      <c r="F37" s="85"/>
      <c r="G37" s="80"/>
      <c r="H37" s="80"/>
      <c r="I37" s="80"/>
      <c r="J37" s="86"/>
      <c r="K37" s="86"/>
      <c r="L37" s="86"/>
      <c r="M37" s="80"/>
    </row>
    <row r="38">
      <c r="A38" s="87"/>
      <c r="B38" s="88" t="s">
        <v>431</v>
      </c>
      <c r="C38" s="89" t="s">
        <v>432</v>
      </c>
      <c r="D38" s="90" t="s">
        <v>433</v>
      </c>
      <c r="E38" s="90" t="s">
        <v>434</v>
      </c>
      <c r="F38" s="91" t="s">
        <v>435</v>
      </c>
      <c r="G38" s="88" t="s">
        <v>12</v>
      </c>
      <c r="H38" s="88" t="s">
        <v>436</v>
      </c>
      <c r="I38" s="88" t="s">
        <v>437</v>
      </c>
      <c r="J38" s="72" t="s">
        <v>438</v>
      </c>
      <c r="K38" s="72" t="s">
        <v>439</v>
      </c>
      <c r="L38" s="72" t="s">
        <v>440</v>
      </c>
      <c r="M38" s="88" t="s">
        <v>441</v>
      </c>
    </row>
    <row r="39">
      <c r="A39" s="102" t="s">
        <v>465</v>
      </c>
      <c r="B39" s="103"/>
      <c r="C39" s="96"/>
      <c r="D39" s="108"/>
      <c r="E39" s="108"/>
      <c r="F39" s="87"/>
      <c r="G39" s="96"/>
      <c r="H39" s="97" t="str">
        <f t="shared" ref="H39:H46" si="7">IF(D39="","N/A",(E39-D39+1))</f>
        <v>N/A</v>
      </c>
      <c r="I39" s="97" t="str">
        <f t="shared" ref="I39:I46" si="8">IF(D39="","N/A",(D39-$M$1))</f>
        <v>N/A</v>
      </c>
      <c r="J39" s="99"/>
      <c r="K39" s="99"/>
      <c r="L39" s="99">
        <f t="shared" ref="L39:L46" si="9">IF(J39="",0,(K39-J39+1))</f>
        <v>0</v>
      </c>
      <c r="M39" s="104"/>
    </row>
    <row r="40">
      <c r="A40" s="102" t="s">
        <v>467</v>
      </c>
      <c r="B40" s="114"/>
      <c r="C40" s="115"/>
      <c r="D40" s="108"/>
      <c r="E40" s="108"/>
      <c r="F40" s="96"/>
      <c r="G40" s="96"/>
      <c r="H40" s="97" t="str">
        <f t="shared" si="7"/>
        <v>N/A</v>
      </c>
      <c r="I40" s="97" t="str">
        <f t="shared" si="8"/>
        <v>N/A</v>
      </c>
      <c r="J40" s="105"/>
      <c r="K40" s="105"/>
      <c r="L40" s="99">
        <f t="shared" si="9"/>
        <v>0</v>
      </c>
      <c r="M40" s="87"/>
    </row>
    <row r="41">
      <c r="A41" s="116" t="s">
        <v>468</v>
      </c>
      <c r="B41" s="117"/>
      <c r="C41" s="118"/>
      <c r="D41" s="119"/>
      <c r="E41" s="108"/>
      <c r="F41" s="120"/>
      <c r="G41" s="96"/>
      <c r="H41" s="97" t="str">
        <f t="shared" si="7"/>
        <v>N/A</v>
      </c>
      <c r="I41" s="97" t="str">
        <f t="shared" si="8"/>
        <v>N/A</v>
      </c>
      <c r="J41" s="105"/>
      <c r="K41" s="105"/>
      <c r="L41" s="99">
        <f t="shared" si="9"/>
        <v>0</v>
      </c>
      <c r="M41" s="87"/>
    </row>
    <row r="42">
      <c r="A42" s="116" t="s">
        <v>469</v>
      </c>
      <c r="B42" s="117"/>
      <c r="C42" s="121"/>
      <c r="D42" s="119"/>
      <c r="E42" s="108"/>
      <c r="F42" s="120"/>
      <c r="G42" s="96"/>
      <c r="H42" s="97" t="str">
        <f t="shared" si="7"/>
        <v>N/A</v>
      </c>
      <c r="I42" s="97" t="str">
        <f t="shared" si="8"/>
        <v>N/A</v>
      </c>
      <c r="J42" s="105"/>
      <c r="K42" s="105"/>
      <c r="L42" s="99">
        <f t="shared" si="9"/>
        <v>0</v>
      </c>
      <c r="M42" s="87"/>
    </row>
    <row r="43">
      <c r="A43" s="102" t="s">
        <v>470</v>
      </c>
      <c r="B43" s="103"/>
      <c r="C43" s="121"/>
      <c r="D43" s="108"/>
      <c r="E43" s="108"/>
      <c r="F43" s="120"/>
      <c r="G43" s="96"/>
      <c r="H43" s="97" t="str">
        <f t="shared" si="7"/>
        <v>N/A</v>
      </c>
      <c r="I43" s="97" t="str">
        <f t="shared" si="8"/>
        <v>N/A</v>
      </c>
      <c r="J43" s="105"/>
      <c r="K43" s="105"/>
      <c r="L43" s="99">
        <f t="shared" si="9"/>
        <v>0</v>
      </c>
      <c r="M43" s="87"/>
    </row>
    <row r="44">
      <c r="A44" s="102" t="s">
        <v>471</v>
      </c>
      <c r="B44" s="103"/>
      <c r="C44" s="96"/>
      <c r="D44" s="108"/>
      <c r="E44" s="108"/>
      <c r="F44" s="120"/>
      <c r="G44" s="96"/>
      <c r="H44" s="97" t="str">
        <f t="shared" si="7"/>
        <v>N/A</v>
      </c>
      <c r="I44" s="97" t="str">
        <f t="shared" si="8"/>
        <v>N/A</v>
      </c>
      <c r="J44" s="105"/>
      <c r="K44" s="105"/>
      <c r="L44" s="99">
        <f t="shared" si="9"/>
        <v>0</v>
      </c>
      <c r="M44" s="104"/>
    </row>
    <row r="45">
      <c r="A45" s="102" t="s">
        <v>472</v>
      </c>
      <c r="B45" s="103"/>
      <c r="C45" s="96"/>
      <c r="D45" s="108"/>
      <c r="E45" s="108"/>
      <c r="F45" s="109"/>
      <c r="G45" s="96"/>
      <c r="H45" s="97" t="str">
        <f t="shared" si="7"/>
        <v>N/A</v>
      </c>
      <c r="I45" s="97" t="str">
        <f t="shared" si="8"/>
        <v>N/A</v>
      </c>
      <c r="J45" s="105"/>
      <c r="K45" s="105"/>
      <c r="L45" s="99">
        <f t="shared" si="9"/>
        <v>0</v>
      </c>
      <c r="M45" s="87"/>
    </row>
    <row r="46">
      <c r="A46" s="102" t="s">
        <v>473</v>
      </c>
      <c r="B46" s="122"/>
      <c r="C46" s="96"/>
      <c r="D46" s="108"/>
      <c r="E46" s="108"/>
      <c r="F46" s="109"/>
      <c r="G46" s="24"/>
      <c r="H46" s="97" t="str">
        <f t="shared" si="7"/>
        <v>N/A</v>
      </c>
      <c r="I46" s="97" t="str">
        <f t="shared" si="8"/>
        <v>N/A</v>
      </c>
      <c r="J46" s="105"/>
      <c r="K46" s="105"/>
      <c r="L46" s="99">
        <f t="shared" si="9"/>
        <v>0</v>
      </c>
      <c r="M46" s="113"/>
    </row>
    <row r="47">
      <c r="A47" s="78"/>
      <c r="B47" s="80"/>
      <c r="C47" s="80"/>
      <c r="D47" s="79"/>
      <c r="E47" s="79"/>
      <c r="F47" s="79"/>
      <c r="G47" s="78"/>
      <c r="H47" s="78"/>
      <c r="I47" s="78"/>
      <c r="J47" s="78"/>
      <c r="K47" s="78"/>
      <c r="L47" s="78"/>
      <c r="M47" s="78"/>
    </row>
    <row r="48">
      <c r="A48" s="78"/>
      <c r="B48" s="80"/>
      <c r="C48" s="80"/>
      <c r="D48" s="79"/>
      <c r="E48" s="79"/>
      <c r="F48" s="79"/>
      <c r="G48" s="78"/>
      <c r="H48" s="78"/>
      <c r="I48" s="78"/>
      <c r="J48" s="78"/>
      <c r="K48" s="78"/>
      <c r="L48" s="78"/>
      <c r="M48" s="78"/>
    </row>
    <row r="49">
      <c r="A49" s="71"/>
      <c r="B49" s="81" t="s">
        <v>423</v>
      </c>
      <c r="C49" s="82"/>
      <c r="D49" s="79"/>
      <c r="E49" s="79"/>
      <c r="F49" s="79"/>
      <c r="G49" s="78"/>
      <c r="H49" s="78"/>
      <c r="I49" s="78"/>
      <c r="J49" s="83"/>
      <c r="K49" s="83"/>
      <c r="L49" s="83"/>
      <c r="M49" s="78"/>
    </row>
    <row r="50">
      <c r="A50" s="71"/>
      <c r="B50" s="81" t="s">
        <v>430</v>
      </c>
      <c r="C50" s="82"/>
      <c r="D50" s="85"/>
      <c r="E50" s="85"/>
      <c r="F50" s="85"/>
      <c r="G50" s="80"/>
      <c r="H50" s="80"/>
      <c r="I50" s="80"/>
      <c r="J50" s="86"/>
      <c r="K50" s="86"/>
      <c r="L50" s="86"/>
      <c r="M50" s="80"/>
    </row>
    <row r="51">
      <c r="A51" s="87"/>
      <c r="B51" s="88" t="s">
        <v>431</v>
      </c>
      <c r="C51" s="89" t="s">
        <v>432</v>
      </c>
      <c r="D51" s="90" t="s">
        <v>433</v>
      </c>
      <c r="E51" s="90" t="s">
        <v>434</v>
      </c>
      <c r="F51" s="91" t="s">
        <v>435</v>
      </c>
      <c r="G51" s="88" t="s">
        <v>12</v>
      </c>
      <c r="H51" s="88" t="s">
        <v>436</v>
      </c>
      <c r="I51" s="88" t="s">
        <v>437</v>
      </c>
      <c r="J51" s="72" t="s">
        <v>474</v>
      </c>
      <c r="K51" s="72" t="s">
        <v>439</v>
      </c>
      <c r="L51" s="72" t="s">
        <v>440</v>
      </c>
      <c r="M51" s="88" t="s">
        <v>441</v>
      </c>
    </row>
    <row r="52">
      <c r="A52" s="102" t="s">
        <v>475</v>
      </c>
      <c r="B52" s="103"/>
      <c r="C52" s="96"/>
      <c r="D52" s="108"/>
      <c r="E52" s="108"/>
      <c r="F52" s="87"/>
      <c r="G52" s="96"/>
      <c r="H52" s="97" t="str">
        <f t="shared" ref="H52:H64" si="10">IF(D52="","N/A",(E52-D52+1))</f>
        <v>N/A</v>
      </c>
      <c r="I52" s="97" t="str">
        <f t="shared" ref="I52:I64" si="11">IF(D52="","N/A",(D52-$M$1))</f>
        <v>N/A</v>
      </c>
      <c r="J52" s="123"/>
      <c r="K52" s="123"/>
      <c r="L52" s="99">
        <f t="shared" ref="L52:L64" si="12">IF(J52="",0,(K52-J52+1))</f>
        <v>0</v>
      </c>
      <c r="M52" s="124"/>
    </row>
    <row r="53">
      <c r="A53" s="102" t="s">
        <v>476</v>
      </c>
      <c r="B53" s="103"/>
      <c r="C53" s="96"/>
      <c r="D53" s="108"/>
      <c r="E53" s="108"/>
      <c r="F53" s="87"/>
      <c r="G53" s="96"/>
      <c r="H53" s="97" t="str">
        <f t="shared" si="10"/>
        <v>N/A</v>
      </c>
      <c r="I53" s="97" t="str">
        <f t="shared" si="11"/>
        <v>N/A</v>
      </c>
      <c r="J53" s="125"/>
      <c r="K53" s="125"/>
      <c r="L53" s="99">
        <f t="shared" si="12"/>
        <v>0</v>
      </c>
      <c r="M53" s="87"/>
    </row>
    <row r="54">
      <c r="A54" s="102" t="s">
        <v>477</v>
      </c>
      <c r="B54" s="103"/>
      <c r="C54" s="96"/>
      <c r="D54" s="108"/>
      <c r="E54" s="108"/>
      <c r="F54" s="87"/>
      <c r="G54" s="96"/>
      <c r="H54" s="97" t="str">
        <f t="shared" si="10"/>
        <v>N/A</v>
      </c>
      <c r="I54" s="97" t="str">
        <f t="shared" si="11"/>
        <v>N/A</v>
      </c>
      <c r="J54" s="125"/>
      <c r="K54" s="125"/>
      <c r="L54" s="99">
        <f t="shared" si="12"/>
        <v>0</v>
      </c>
      <c r="M54" s="87"/>
    </row>
    <row r="55">
      <c r="A55" s="102" t="s">
        <v>478</v>
      </c>
      <c r="B55" s="103"/>
      <c r="C55" s="96"/>
      <c r="D55" s="108"/>
      <c r="E55" s="108"/>
      <c r="F55" s="87"/>
      <c r="G55" s="96"/>
      <c r="H55" s="97" t="str">
        <f t="shared" si="10"/>
        <v>N/A</v>
      </c>
      <c r="I55" s="97" t="str">
        <f t="shared" si="11"/>
        <v>N/A</v>
      </c>
      <c r="J55" s="125"/>
      <c r="K55" s="125"/>
      <c r="L55" s="99">
        <f t="shared" si="12"/>
        <v>0</v>
      </c>
      <c r="M55" s="87"/>
    </row>
    <row r="56">
      <c r="A56" s="102" t="s">
        <v>479</v>
      </c>
      <c r="B56" s="103"/>
      <c r="C56" s="96"/>
      <c r="D56" s="108"/>
      <c r="E56" s="108"/>
      <c r="F56" s="120"/>
      <c r="G56" s="96"/>
      <c r="H56" s="97" t="str">
        <f t="shared" si="10"/>
        <v>N/A</v>
      </c>
      <c r="I56" s="97" t="str">
        <f t="shared" si="11"/>
        <v>N/A</v>
      </c>
      <c r="J56" s="125"/>
      <c r="K56" s="125"/>
      <c r="L56" s="99">
        <f t="shared" si="12"/>
        <v>0</v>
      </c>
      <c r="M56" s="87"/>
    </row>
    <row r="57">
      <c r="A57" s="102" t="s">
        <v>480</v>
      </c>
      <c r="B57" s="103"/>
      <c r="C57" s="96"/>
      <c r="D57" s="108"/>
      <c r="E57" s="108"/>
      <c r="F57" s="120"/>
      <c r="G57" s="96"/>
      <c r="H57" s="97" t="str">
        <f t="shared" si="10"/>
        <v>N/A</v>
      </c>
      <c r="I57" s="97" t="str">
        <f t="shared" si="11"/>
        <v>N/A</v>
      </c>
      <c r="J57" s="125"/>
      <c r="K57" s="125"/>
      <c r="L57" s="99">
        <f t="shared" si="12"/>
        <v>0</v>
      </c>
      <c r="M57" s="87"/>
    </row>
    <row r="58">
      <c r="A58" s="102" t="s">
        <v>481</v>
      </c>
      <c r="B58" s="103"/>
      <c r="C58" s="96"/>
      <c r="D58" s="108"/>
      <c r="E58" s="108"/>
      <c r="F58" s="120"/>
      <c r="G58" s="96"/>
      <c r="H58" s="97" t="str">
        <f t="shared" si="10"/>
        <v>N/A</v>
      </c>
      <c r="I58" s="97" t="str">
        <f t="shared" si="11"/>
        <v>N/A</v>
      </c>
      <c r="J58" s="125"/>
      <c r="K58" s="125"/>
      <c r="L58" s="99">
        <f t="shared" si="12"/>
        <v>0</v>
      </c>
      <c r="M58" s="87"/>
    </row>
    <row r="59">
      <c r="A59" s="102" t="s">
        <v>482</v>
      </c>
      <c r="B59" s="103"/>
      <c r="C59" s="96"/>
      <c r="D59" s="108"/>
      <c r="E59" s="108"/>
      <c r="F59" s="120"/>
      <c r="G59" s="96"/>
      <c r="H59" s="97" t="str">
        <f t="shared" si="10"/>
        <v>N/A</v>
      </c>
      <c r="I59" s="97" t="str">
        <f t="shared" si="11"/>
        <v>N/A</v>
      </c>
      <c r="J59" s="125"/>
      <c r="K59" s="125"/>
      <c r="L59" s="99">
        <f t="shared" si="12"/>
        <v>0</v>
      </c>
      <c r="M59" s="87"/>
    </row>
    <row r="60">
      <c r="A60" s="102" t="s">
        <v>483</v>
      </c>
      <c r="B60" s="103"/>
      <c r="C60" s="96"/>
      <c r="D60" s="108"/>
      <c r="E60" s="108"/>
      <c r="F60" s="120"/>
      <c r="G60" s="96"/>
      <c r="H60" s="97" t="str">
        <f t="shared" si="10"/>
        <v>N/A</v>
      </c>
      <c r="I60" s="97" t="str">
        <f t="shared" si="11"/>
        <v>N/A</v>
      </c>
      <c r="J60" s="125"/>
      <c r="K60" s="126"/>
      <c r="L60" s="112">
        <f t="shared" si="12"/>
        <v>0</v>
      </c>
      <c r="M60" s="113"/>
    </row>
    <row r="61">
      <c r="A61" s="102" t="s">
        <v>484</v>
      </c>
      <c r="B61" s="103"/>
      <c r="C61" s="96"/>
      <c r="D61" s="108"/>
      <c r="E61" s="108"/>
      <c r="F61" s="109"/>
      <c r="G61" s="94"/>
      <c r="H61" s="110" t="str">
        <f t="shared" si="10"/>
        <v>N/A</v>
      </c>
      <c r="I61" s="110" t="str">
        <f t="shared" si="11"/>
        <v>N/A</v>
      </c>
      <c r="J61" s="126"/>
      <c r="K61" s="126"/>
      <c r="L61" s="112">
        <f t="shared" si="12"/>
        <v>0</v>
      </c>
      <c r="M61" s="113"/>
    </row>
    <row r="62">
      <c r="A62" s="102" t="s">
        <v>485</v>
      </c>
      <c r="B62" s="122"/>
      <c r="C62" s="96"/>
      <c r="D62" s="108"/>
      <c r="E62" s="108"/>
      <c r="F62" s="109"/>
      <c r="G62" s="94"/>
      <c r="H62" s="110" t="str">
        <f t="shared" si="10"/>
        <v>N/A</v>
      </c>
      <c r="I62" s="110" t="str">
        <f t="shared" si="11"/>
        <v>N/A</v>
      </c>
      <c r="J62" s="126"/>
      <c r="K62" s="126"/>
      <c r="L62" s="112">
        <f t="shared" si="12"/>
        <v>0</v>
      </c>
      <c r="M62" s="113"/>
    </row>
    <row r="63">
      <c r="A63" s="102" t="s">
        <v>486</v>
      </c>
      <c r="B63" s="122"/>
      <c r="C63" s="96"/>
      <c r="D63" s="108"/>
      <c r="E63" s="108"/>
      <c r="F63" s="109"/>
      <c r="G63" s="94"/>
      <c r="H63" s="110" t="str">
        <f t="shared" si="10"/>
        <v>N/A</v>
      </c>
      <c r="I63" s="110" t="str">
        <f t="shared" si="11"/>
        <v>N/A</v>
      </c>
      <c r="J63" s="126"/>
      <c r="K63" s="126"/>
      <c r="L63" s="112">
        <f t="shared" si="12"/>
        <v>0</v>
      </c>
      <c r="M63" s="113"/>
    </row>
    <row r="64">
      <c r="A64" s="102" t="s">
        <v>487</v>
      </c>
      <c r="B64" s="122"/>
      <c r="C64" s="96"/>
      <c r="D64" s="108"/>
      <c r="E64" s="108"/>
      <c r="F64" s="109"/>
      <c r="G64" s="94"/>
      <c r="H64" s="110" t="str">
        <f t="shared" si="10"/>
        <v>N/A</v>
      </c>
      <c r="I64" s="110" t="str">
        <f t="shared" si="11"/>
        <v>N/A</v>
      </c>
      <c r="J64" s="126"/>
      <c r="K64" s="126"/>
      <c r="L64" s="112">
        <f t="shared" si="12"/>
        <v>0</v>
      </c>
      <c r="M64" s="113"/>
    </row>
    <row r="65">
      <c r="A65" s="78"/>
      <c r="B65" s="80"/>
      <c r="C65" s="80"/>
      <c r="D65" s="79"/>
      <c r="E65" s="79"/>
      <c r="F65" s="79"/>
      <c r="G65" s="78"/>
      <c r="H65" s="78"/>
      <c r="I65" s="78"/>
      <c r="J65" s="78"/>
      <c r="K65" s="78"/>
      <c r="L65" s="78"/>
      <c r="M65" s="78"/>
    </row>
    <row r="66">
      <c r="A66" s="71"/>
      <c r="B66" s="81" t="s">
        <v>423</v>
      </c>
      <c r="C66" s="82"/>
      <c r="D66" s="79"/>
      <c r="E66" s="79"/>
      <c r="F66" s="79"/>
      <c r="G66" s="78"/>
      <c r="H66" s="78"/>
      <c r="I66" s="78"/>
      <c r="J66" s="83"/>
      <c r="K66" s="83"/>
      <c r="L66" s="83"/>
      <c r="M66" s="78"/>
    </row>
    <row r="67">
      <c r="A67" s="71"/>
      <c r="B67" s="81" t="s">
        <v>430</v>
      </c>
      <c r="C67" s="82"/>
      <c r="D67" s="85"/>
      <c r="E67" s="85"/>
      <c r="F67" s="85"/>
      <c r="G67" s="80"/>
      <c r="H67" s="80"/>
      <c r="I67" s="80"/>
      <c r="J67" s="86"/>
      <c r="K67" s="86"/>
      <c r="L67" s="86"/>
      <c r="M67" s="80"/>
    </row>
    <row r="68">
      <c r="A68" s="87"/>
      <c r="B68" s="88" t="s">
        <v>431</v>
      </c>
      <c r="C68" s="89" t="s">
        <v>432</v>
      </c>
      <c r="D68" s="90" t="s">
        <v>433</v>
      </c>
      <c r="E68" s="90" t="s">
        <v>434</v>
      </c>
      <c r="F68" s="91" t="s">
        <v>435</v>
      </c>
      <c r="G68" s="88" t="s">
        <v>12</v>
      </c>
      <c r="H68" s="88" t="s">
        <v>436</v>
      </c>
      <c r="I68" s="88" t="s">
        <v>437</v>
      </c>
      <c r="J68" s="72" t="s">
        <v>438</v>
      </c>
      <c r="K68" s="72" t="s">
        <v>439</v>
      </c>
      <c r="L68" s="72" t="s">
        <v>440</v>
      </c>
      <c r="M68" s="88" t="s">
        <v>441</v>
      </c>
    </row>
    <row r="69">
      <c r="A69" s="102" t="s">
        <v>489</v>
      </c>
      <c r="B69" s="103"/>
      <c r="C69" s="121"/>
      <c r="D69" s="127"/>
      <c r="E69" s="127"/>
      <c r="F69" s="120"/>
      <c r="G69" s="87"/>
      <c r="H69" s="97" t="str">
        <f t="shared" ref="H69:H72" si="13">IF(D69="","N/A",(E69-D69+1))</f>
        <v>N/A</v>
      </c>
      <c r="I69" s="97" t="str">
        <f>IF(D69="","N/A",(D69-'Community Work Plan - Uganda '!$M$1))</f>
        <v>N/A</v>
      </c>
      <c r="J69" s="98"/>
      <c r="K69" s="98"/>
      <c r="L69" s="99">
        <f t="shared" ref="L69:L74" si="14">IF(J69="",0,(K69-J69+1))</f>
        <v>0</v>
      </c>
      <c r="M69" s="104"/>
    </row>
    <row r="70">
      <c r="A70" s="102" t="s">
        <v>491</v>
      </c>
      <c r="B70" s="103"/>
      <c r="C70" s="121"/>
      <c r="D70" s="127"/>
      <c r="E70" s="127"/>
      <c r="F70" s="120"/>
      <c r="G70" s="87"/>
      <c r="H70" s="97" t="str">
        <f t="shared" si="13"/>
        <v>N/A</v>
      </c>
      <c r="I70" s="97" t="str">
        <f>IF(D70="","N/A",(D70-'Community Work Plan - Uganda '!$M$1))</f>
        <v>N/A</v>
      </c>
      <c r="J70" s="98"/>
      <c r="K70" s="98"/>
      <c r="L70" s="99">
        <f t="shared" si="14"/>
        <v>0</v>
      </c>
      <c r="M70" s="104"/>
    </row>
    <row r="71">
      <c r="A71" s="102" t="s">
        <v>493</v>
      </c>
      <c r="B71" s="103"/>
      <c r="C71" s="121"/>
      <c r="D71" s="127"/>
      <c r="E71" s="127"/>
      <c r="F71" s="120"/>
      <c r="G71" s="87"/>
      <c r="H71" s="97" t="str">
        <f t="shared" si="13"/>
        <v>N/A</v>
      </c>
      <c r="I71" s="97" t="str">
        <f>IF(D71="","N/A",(D71-'Community Work Plan - Uganda '!$M$1))</f>
        <v>N/A</v>
      </c>
      <c r="J71" s="98"/>
      <c r="K71" s="98"/>
      <c r="L71" s="99">
        <f t="shared" si="14"/>
        <v>0</v>
      </c>
      <c r="M71" s="124"/>
    </row>
    <row r="72">
      <c r="A72" s="102" t="s">
        <v>495</v>
      </c>
      <c r="B72" s="103"/>
      <c r="C72" s="121"/>
      <c r="D72" s="127"/>
      <c r="E72" s="127"/>
      <c r="F72" s="120"/>
      <c r="G72" s="87"/>
      <c r="H72" s="97" t="str">
        <f t="shared" si="13"/>
        <v>N/A</v>
      </c>
      <c r="I72" s="97" t="str">
        <f>IF(D72="","N/A",(D72-'Community Work Plan - Uganda '!$M$1))</f>
        <v>N/A</v>
      </c>
      <c r="J72" s="98"/>
      <c r="K72" s="98"/>
      <c r="L72" s="99">
        <f t="shared" si="14"/>
        <v>0</v>
      </c>
      <c r="M72" s="104"/>
    </row>
    <row r="73">
      <c r="A73" s="102"/>
      <c r="B73" s="103"/>
      <c r="C73" s="121"/>
      <c r="D73" s="127"/>
      <c r="E73" s="127"/>
      <c r="F73" s="120"/>
      <c r="G73" s="87"/>
      <c r="H73" s="97"/>
      <c r="I73" s="97"/>
      <c r="J73" s="128"/>
      <c r="K73" s="128"/>
      <c r="L73" s="99">
        <f t="shared" si="14"/>
        <v>0</v>
      </c>
      <c r="M73" s="124"/>
    </row>
    <row r="74">
      <c r="A74" s="102" t="s">
        <v>497</v>
      </c>
      <c r="B74" s="103"/>
      <c r="C74" s="121"/>
      <c r="D74" s="127"/>
      <c r="E74" s="127"/>
      <c r="F74" s="120"/>
      <c r="G74" s="87"/>
      <c r="H74" s="97" t="str">
        <f>IF(D74="","N/A",(E74-D74+1))</f>
        <v>N/A</v>
      </c>
      <c r="I74" s="97" t="str">
        <f>IF(D74="","N/A",(D74-'Community Work Plan - Uganda '!$M$1))</f>
        <v>N/A</v>
      </c>
      <c r="J74" s="128"/>
      <c r="K74" s="128"/>
      <c r="L74" s="99">
        <f t="shared" si="14"/>
        <v>0</v>
      </c>
      <c r="M74" s="104"/>
    </row>
    <row r="75">
      <c r="A75" s="78"/>
      <c r="B75" s="80"/>
      <c r="C75" s="80"/>
      <c r="D75" s="79"/>
      <c r="E75" s="79"/>
      <c r="F75" s="79"/>
      <c r="G75" s="78"/>
      <c r="H75" s="78"/>
      <c r="I75" s="78"/>
      <c r="J75" s="78"/>
      <c r="K75" s="78"/>
      <c r="L75" s="78"/>
      <c r="M75" s="78"/>
    </row>
    <row r="76">
      <c r="A76" s="78"/>
      <c r="B76" s="78"/>
      <c r="C76" s="78"/>
      <c r="D76" s="79"/>
      <c r="E76" s="79"/>
      <c r="F76" s="79"/>
      <c r="G76" s="78"/>
      <c r="H76" s="78"/>
      <c r="I76" s="78"/>
      <c r="J76" s="78"/>
      <c r="K76" s="78"/>
      <c r="L76" s="78"/>
      <c r="M76" s="78"/>
    </row>
    <row r="77">
      <c r="A77" s="78"/>
      <c r="B77" s="80"/>
      <c r="C77" s="80"/>
      <c r="D77" s="79"/>
      <c r="E77" s="79"/>
      <c r="F77" s="79"/>
      <c r="G77" s="78"/>
      <c r="H77" s="78"/>
      <c r="I77" s="78"/>
      <c r="J77" s="78"/>
      <c r="K77" s="78"/>
      <c r="L77" s="78"/>
      <c r="M77" s="78"/>
    </row>
    <row r="78">
      <c r="A78" s="71"/>
      <c r="B78" s="81" t="s">
        <v>423</v>
      </c>
      <c r="C78" s="82"/>
      <c r="D78" s="24"/>
      <c r="E78" s="79"/>
      <c r="F78" s="79"/>
      <c r="G78" s="78"/>
      <c r="H78" s="78"/>
      <c r="I78" s="78"/>
      <c r="J78" s="83"/>
      <c r="K78" s="83"/>
      <c r="L78" s="83"/>
      <c r="M78" s="78"/>
    </row>
    <row r="79">
      <c r="A79" s="71"/>
      <c r="B79" s="81" t="s">
        <v>430</v>
      </c>
      <c r="C79" s="82"/>
      <c r="D79" s="85"/>
      <c r="E79" s="85"/>
      <c r="F79" s="85"/>
      <c r="G79" s="80"/>
      <c r="H79" s="80"/>
      <c r="I79" s="80"/>
      <c r="J79" s="86"/>
      <c r="K79" s="86"/>
      <c r="L79" s="86"/>
      <c r="M79" s="80"/>
    </row>
    <row r="80">
      <c r="A80" s="87"/>
      <c r="B80" s="131" t="s">
        <v>431</v>
      </c>
      <c r="C80" s="89" t="s">
        <v>432</v>
      </c>
      <c r="D80" s="90" t="s">
        <v>433</v>
      </c>
      <c r="E80" s="90" t="s">
        <v>434</v>
      </c>
      <c r="F80" s="91" t="s">
        <v>435</v>
      </c>
      <c r="G80" s="88" t="s">
        <v>12</v>
      </c>
      <c r="H80" s="88" t="s">
        <v>436</v>
      </c>
      <c r="I80" s="88" t="s">
        <v>437</v>
      </c>
      <c r="J80" s="72" t="s">
        <v>438</v>
      </c>
      <c r="K80" s="72" t="s">
        <v>439</v>
      </c>
      <c r="L80" s="72" t="s">
        <v>440</v>
      </c>
      <c r="M80" s="88" t="s">
        <v>441</v>
      </c>
    </row>
    <row r="81">
      <c r="A81" s="102" t="s">
        <v>498</v>
      </c>
      <c r="B81" s="132"/>
      <c r="C81" s="87"/>
      <c r="D81" s="127"/>
      <c r="E81" s="127"/>
      <c r="F81" s="120"/>
      <c r="G81" s="87"/>
      <c r="H81" s="97" t="str">
        <f t="shared" ref="H81:H84" si="15">IF(D81="","N/A",(E81-D81+1))</f>
        <v>N/A</v>
      </c>
      <c r="I81" s="97" t="str">
        <f>IF(D81="","N/A",(D81-'Community Work Plan - Uganda '!$M$1))</f>
        <v>N/A</v>
      </c>
      <c r="J81" s="105"/>
      <c r="K81" s="105"/>
      <c r="L81" s="99">
        <f t="shared" ref="L81:L84" si="16">IFs(J81="",0,K81="",0,K81&lt;&gt;"",(K81-J81+1))</f>
        <v>0</v>
      </c>
      <c r="M81" s="87"/>
    </row>
    <row r="82">
      <c r="A82" s="102" t="s">
        <v>499</v>
      </c>
      <c r="B82" s="103"/>
      <c r="C82" s="87"/>
      <c r="D82" s="127"/>
      <c r="E82" s="127"/>
      <c r="F82" s="120"/>
      <c r="G82" s="87"/>
      <c r="H82" s="97" t="str">
        <f t="shared" si="15"/>
        <v>N/A</v>
      </c>
      <c r="I82" s="97" t="str">
        <f>IF(D82="","N/A",(D82-'Community Work Plan - Uganda '!$M$1))</f>
        <v>N/A</v>
      </c>
      <c r="J82" s="105"/>
      <c r="K82" s="105"/>
      <c r="L82" s="99">
        <f t="shared" si="16"/>
        <v>0</v>
      </c>
      <c r="M82" s="87"/>
    </row>
    <row r="83">
      <c r="A83" s="102" t="s">
        <v>500</v>
      </c>
      <c r="B83" s="103"/>
      <c r="C83" s="87"/>
      <c r="D83" s="127"/>
      <c r="E83" s="127"/>
      <c r="F83" s="120"/>
      <c r="G83" s="87"/>
      <c r="H83" s="97" t="str">
        <f t="shared" si="15"/>
        <v>N/A</v>
      </c>
      <c r="I83" s="97" t="str">
        <f>IF(D83="","N/A",(D83-'Community Work Plan - Uganda '!$M$1))</f>
        <v>N/A</v>
      </c>
      <c r="J83" s="105"/>
      <c r="K83" s="105"/>
      <c r="L83" s="99">
        <f t="shared" si="16"/>
        <v>0</v>
      </c>
      <c r="M83" s="87"/>
    </row>
    <row r="84">
      <c r="A84" s="102" t="s">
        <v>501</v>
      </c>
      <c r="B84" s="103"/>
      <c r="C84" s="87"/>
      <c r="D84" s="127"/>
      <c r="E84" s="127"/>
      <c r="F84" s="120"/>
      <c r="G84" s="87"/>
      <c r="H84" s="97" t="str">
        <f t="shared" si="15"/>
        <v>N/A</v>
      </c>
      <c r="I84" s="97" t="str">
        <f>IF(D84="","N/A",(D84-'Community Work Plan - Uganda '!$M$1))</f>
        <v>N/A</v>
      </c>
      <c r="J84" s="105"/>
      <c r="K84" s="105"/>
      <c r="L84" s="99">
        <f t="shared" si="16"/>
        <v>0</v>
      </c>
      <c r="M84" s="87"/>
    </row>
    <row r="85">
      <c r="A85" s="78"/>
      <c r="B85" s="78"/>
      <c r="C85" s="78"/>
      <c r="D85" s="79"/>
      <c r="E85" s="79"/>
      <c r="F85" s="79"/>
      <c r="G85" s="78"/>
      <c r="H85" s="78"/>
      <c r="I85" s="78"/>
      <c r="J85" s="78"/>
      <c r="K85" s="78"/>
      <c r="L85" s="78"/>
      <c r="M85" s="78"/>
    </row>
    <row r="86">
      <c r="A86" s="78"/>
      <c r="B86" s="80"/>
      <c r="C86" s="80"/>
      <c r="D86" s="79"/>
      <c r="E86" s="79"/>
      <c r="F86" s="79"/>
      <c r="G86" s="78"/>
      <c r="H86" s="78"/>
      <c r="I86" s="78"/>
      <c r="J86" s="78"/>
      <c r="K86" s="78"/>
      <c r="L86" s="78"/>
      <c r="M86" s="78"/>
    </row>
    <row r="87">
      <c r="A87" s="71"/>
      <c r="B87" s="81" t="s">
        <v>423</v>
      </c>
      <c r="C87" s="82"/>
      <c r="D87" s="79"/>
      <c r="E87" s="79"/>
      <c r="F87" s="79"/>
      <c r="G87" s="78"/>
      <c r="H87" s="78"/>
      <c r="I87" s="78"/>
      <c r="J87" s="83"/>
      <c r="K87" s="83"/>
      <c r="L87" s="83"/>
      <c r="M87" s="78"/>
    </row>
    <row r="88">
      <c r="A88" s="71"/>
      <c r="B88" s="81" t="s">
        <v>430</v>
      </c>
      <c r="C88" s="89"/>
      <c r="D88" s="85"/>
      <c r="E88" s="85"/>
      <c r="F88" s="85"/>
      <c r="G88" s="80"/>
      <c r="H88" s="80"/>
      <c r="I88" s="80"/>
      <c r="J88" s="86"/>
      <c r="K88" s="86"/>
      <c r="L88" s="86"/>
      <c r="M88" s="80"/>
    </row>
    <row r="89">
      <c r="A89" s="87"/>
      <c r="B89" s="131" t="s">
        <v>431</v>
      </c>
      <c r="C89" s="89" t="s">
        <v>432</v>
      </c>
      <c r="D89" s="90" t="s">
        <v>433</v>
      </c>
      <c r="E89" s="90" t="s">
        <v>434</v>
      </c>
      <c r="F89" s="91" t="s">
        <v>435</v>
      </c>
      <c r="G89" s="88" t="s">
        <v>12</v>
      </c>
      <c r="H89" s="88" t="s">
        <v>436</v>
      </c>
      <c r="I89" s="88" t="s">
        <v>437</v>
      </c>
      <c r="J89" s="72" t="s">
        <v>438</v>
      </c>
      <c r="K89" s="72" t="s">
        <v>439</v>
      </c>
      <c r="L89" s="72" t="s">
        <v>440</v>
      </c>
      <c r="M89" s="88" t="s">
        <v>441</v>
      </c>
    </row>
    <row r="90">
      <c r="A90" s="102" t="s">
        <v>502</v>
      </c>
      <c r="B90" s="133"/>
      <c r="C90" s="87"/>
      <c r="D90" s="120"/>
      <c r="E90" s="134"/>
      <c r="F90" s="120"/>
      <c r="G90" s="87"/>
      <c r="H90" s="97" t="str">
        <f t="shared" ref="H90:H94" si="17">IF(D90="","N/A",(E90-D90+1))</f>
        <v>N/A</v>
      </c>
      <c r="I90" s="97" t="str">
        <f>IF(D90="","N/A",(D90-'Community Work Plan - Uganda '!$M$1))</f>
        <v>N/A</v>
      </c>
      <c r="J90" s="99"/>
      <c r="K90" s="99"/>
      <c r="L90" s="99">
        <f t="shared" ref="L90:L94" si="18">IF(J90="",0,(K90-J90+1))</f>
        <v>0</v>
      </c>
      <c r="M90" s="87"/>
    </row>
    <row r="91">
      <c r="A91" s="102" t="s">
        <v>503</v>
      </c>
      <c r="B91" s="124"/>
      <c r="C91" s="87"/>
      <c r="D91" s="120"/>
      <c r="E91" s="120"/>
      <c r="F91" s="120"/>
      <c r="G91" s="87"/>
      <c r="H91" s="97" t="str">
        <f t="shared" si="17"/>
        <v>N/A</v>
      </c>
      <c r="I91" s="97" t="str">
        <f>IF(D91="","N/A",(D91-'Community Work Plan - Uganda '!$M$1))</f>
        <v>N/A</v>
      </c>
      <c r="J91" s="105"/>
      <c r="K91" s="105"/>
      <c r="L91" s="99">
        <f t="shared" si="18"/>
        <v>0</v>
      </c>
      <c r="M91" s="87"/>
    </row>
    <row r="92">
      <c r="A92" s="102" t="s">
        <v>504</v>
      </c>
      <c r="B92" s="124"/>
      <c r="C92" s="87"/>
      <c r="D92" s="120"/>
      <c r="E92" s="120"/>
      <c r="F92" s="120"/>
      <c r="G92" s="87"/>
      <c r="H92" s="97" t="str">
        <f t="shared" si="17"/>
        <v>N/A</v>
      </c>
      <c r="I92" s="97" t="str">
        <f>IF(D92="","N/A",(D92-'Community Work Plan - Uganda '!$M$1))</f>
        <v>N/A</v>
      </c>
      <c r="J92" s="105"/>
      <c r="K92" s="105"/>
      <c r="L92" s="99">
        <f t="shared" si="18"/>
        <v>0</v>
      </c>
      <c r="M92" s="87"/>
    </row>
    <row r="93">
      <c r="A93" s="102" t="s">
        <v>505</v>
      </c>
      <c r="B93" s="124"/>
      <c r="C93" s="87"/>
      <c r="D93" s="120"/>
      <c r="E93" s="120"/>
      <c r="F93" s="120"/>
      <c r="G93" s="87"/>
      <c r="H93" s="97" t="str">
        <f t="shared" si="17"/>
        <v>N/A</v>
      </c>
      <c r="I93" s="97" t="str">
        <f>IF(D93="","N/A",(D93-'Community Work Plan - Uganda '!$M$1))</f>
        <v>N/A</v>
      </c>
      <c r="J93" s="105"/>
      <c r="K93" s="105"/>
      <c r="L93" s="99">
        <f t="shared" si="18"/>
        <v>0</v>
      </c>
      <c r="M93" s="87"/>
    </row>
    <row r="94">
      <c r="A94" s="102" t="s">
        <v>506</v>
      </c>
      <c r="B94" s="124"/>
      <c r="C94" s="87"/>
      <c r="D94" s="120"/>
      <c r="E94" s="134"/>
      <c r="F94" s="120"/>
      <c r="G94" s="87"/>
      <c r="H94" s="97" t="str">
        <f t="shared" si="17"/>
        <v>N/A</v>
      </c>
      <c r="I94" s="97" t="str">
        <f>IF(D94="","N/A",(D94-'Community Work Plan - Uganda '!$M$1))</f>
        <v>N/A</v>
      </c>
      <c r="J94" s="105"/>
      <c r="K94" s="105"/>
      <c r="L94" s="99">
        <f t="shared" si="18"/>
        <v>0</v>
      </c>
      <c r="M94" s="87"/>
    </row>
  </sheetData>
  <mergeCells count="1">
    <mergeCell ref="A1:L1"/>
  </mergeCells>
  <dataValidations>
    <dataValidation type="custom" allowBlank="1" showDropDown="1" showInputMessage="1" showErrorMessage="1" prompt="Enter a valid date" sqref="E69:E74 E81:E84">
      <formula1>OR(NOT(ISERROR(DATEVALUE(E69))), AND(ISNUMBER(E69), LEFT(CELL("format", E69))="D"))</formula1>
    </dataValidation>
    <dataValidation type="date" operator="greaterThanOrEqual" allowBlank="1" showDropDown="1" showInputMessage="1" showErrorMessage="1" prompt="Enter a date on or after 02/27/2023" sqref="D8:E16 J8:K16 D22:E34 J22:K34 D39:E46 J39:K46 D52:E64 J52:K64 D69:D74 J69:K74 D81:D84 J81:K84 D90:D91 D92:E92 D93:D94 J90:K94">
      <formula1>44984.0</formula1>
    </dataValidation>
    <dataValidation type="list" allowBlank="1" showErrorMessage="1" sqref="G8:G16 G22:G34 G39:G46 G52:G64 G69:G74 G81:G84 G90:G94">
      <formula1>"Scheduled,In Progress-On Time,In Progress-Delayed,Not Started-Delayed,Completed-On Schedule,Completed-Delayed"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1" width="40.63"/>
    <col customWidth="1" min="2" max="2" width="26.25"/>
    <col customWidth="1" min="3" max="3" width="24.5"/>
    <col customWidth="1" min="4" max="4" width="16.5"/>
    <col customWidth="1" min="5" max="5" width="20.75"/>
    <col customWidth="1" min="9" max="9" width="17.38"/>
    <col customWidth="1" min="10" max="10" width="16.88"/>
    <col customWidth="1" min="12" max="12" width="20.13"/>
  </cols>
  <sheetData>
    <row r="1">
      <c r="A1" s="135" t="s">
        <v>509</v>
      </c>
      <c r="B1" s="106"/>
      <c r="C1" s="106"/>
      <c r="D1" s="106"/>
      <c r="E1" s="106"/>
      <c r="H1" s="7" t="s">
        <v>510</v>
      </c>
    </row>
    <row r="2">
      <c r="A2" s="136" t="s">
        <v>511</v>
      </c>
      <c r="B2" s="106" t="s">
        <v>512</v>
      </c>
      <c r="H2" s="137"/>
      <c r="I2" s="138" t="s">
        <v>513</v>
      </c>
      <c r="J2" s="139" t="s">
        <v>514</v>
      </c>
      <c r="K2" s="139" t="s">
        <v>515</v>
      </c>
      <c r="L2" s="139" t="s">
        <v>516</v>
      </c>
      <c r="M2" s="139" t="s">
        <v>517</v>
      </c>
      <c r="N2" s="139" t="s">
        <v>518</v>
      </c>
    </row>
    <row r="3">
      <c r="B3" s="106" t="s">
        <v>519</v>
      </c>
      <c r="H3" s="140"/>
      <c r="I3" s="140"/>
      <c r="J3" s="140"/>
      <c r="K3" s="140"/>
      <c r="L3" s="140"/>
      <c r="M3" s="140"/>
      <c r="N3" s="140"/>
    </row>
    <row r="4">
      <c r="B4" s="106" t="s">
        <v>520</v>
      </c>
      <c r="H4" s="141">
        <v>45052.0</v>
      </c>
      <c r="I4" s="142" t="s">
        <v>521</v>
      </c>
      <c r="J4" s="143" t="s">
        <v>522</v>
      </c>
      <c r="K4" s="144" t="s">
        <v>523</v>
      </c>
      <c r="L4" s="145" t="s">
        <v>524</v>
      </c>
      <c r="M4" s="146">
        <v>1000000.0</v>
      </c>
      <c r="N4" s="147"/>
    </row>
    <row r="5">
      <c r="A5" s="148" t="s">
        <v>525</v>
      </c>
      <c r="B5" s="78"/>
      <c r="C5" s="78"/>
      <c r="D5" s="78"/>
      <c r="E5" s="78"/>
      <c r="H5" s="141">
        <v>45080.0</v>
      </c>
      <c r="I5" s="142" t="s">
        <v>521</v>
      </c>
      <c r="J5" s="143" t="s">
        <v>522</v>
      </c>
      <c r="K5" s="144" t="s">
        <v>523</v>
      </c>
      <c r="L5" s="145" t="s">
        <v>524</v>
      </c>
      <c r="M5" s="146">
        <v>1000000.0</v>
      </c>
      <c r="N5" s="147"/>
    </row>
    <row r="6">
      <c r="B6" s="149" t="s">
        <v>526</v>
      </c>
      <c r="C6" s="149" t="s">
        <v>527</v>
      </c>
      <c r="D6" s="150" t="s">
        <v>528</v>
      </c>
      <c r="E6" s="150" t="s">
        <v>529</v>
      </c>
      <c r="H6" s="151">
        <v>45108.0</v>
      </c>
      <c r="I6" s="142" t="s">
        <v>521</v>
      </c>
      <c r="J6" s="143" t="s">
        <v>522</v>
      </c>
      <c r="K6" s="144" t="s">
        <v>523</v>
      </c>
      <c r="L6" s="145" t="s">
        <v>524</v>
      </c>
      <c r="M6" s="146">
        <v>1000000.0</v>
      </c>
      <c r="N6" s="147"/>
    </row>
    <row r="7">
      <c r="B7" s="152" t="s">
        <v>530</v>
      </c>
      <c r="C7" s="24" t="s">
        <v>531</v>
      </c>
      <c r="D7" s="24">
        <v>15.0</v>
      </c>
      <c r="E7" s="153">
        <v>37600.0</v>
      </c>
      <c r="H7" s="151">
        <v>45143.0</v>
      </c>
      <c r="I7" s="142" t="s">
        <v>521</v>
      </c>
      <c r="J7" s="143" t="s">
        <v>522</v>
      </c>
      <c r="K7" s="144" t="s">
        <v>523</v>
      </c>
      <c r="L7" s="145" t="s">
        <v>524</v>
      </c>
      <c r="M7" s="146">
        <v>1000000.0</v>
      </c>
      <c r="N7" s="147"/>
    </row>
    <row r="8">
      <c r="A8" s="78"/>
      <c r="B8" s="78"/>
      <c r="C8" s="78"/>
      <c r="D8" s="78"/>
      <c r="E8" s="78"/>
    </row>
    <row r="9">
      <c r="A9" s="148" t="s">
        <v>532</v>
      </c>
      <c r="B9" s="78"/>
      <c r="C9" s="78"/>
      <c r="D9" s="78"/>
      <c r="E9" s="78"/>
    </row>
    <row r="10">
      <c r="B10" s="152" t="s">
        <v>533</v>
      </c>
      <c r="C10" s="78"/>
      <c r="D10" s="78"/>
      <c r="E10" s="78"/>
    </row>
    <row r="11">
      <c r="B11" s="152" t="s">
        <v>534</v>
      </c>
      <c r="C11" s="78"/>
      <c r="D11" s="78"/>
      <c r="E11" s="78"/>
    </row>
    <row r="12">
      <c r="B12" s="152" t="s">
        <v>535</v>
      </c>
      <c r="C12" s="78"/>
      <c r="D12" s="78"/>
      <c r="E12" s="78"/>
    </row>
    <row r="13">
      <c r="B13" s="152" t="s">
        <v>536</v>
      </c>
      <c r="C13" s="78"/>
      <c r="D13" s="78"/>
      <c r="E13" s="78"/>
    </row>
    <row r="14">
      <c r="B14" s="24" t="s">
        <v>537</v>
      </c>
      <c r="C14" s="78"/>
      <c r="D14" s="78"/>
      <c r="E14" s="78"/>
    </row>
    <row r="15">
      <c r="A15" s="78"/>
      <c r="B15" s="78"/>
      <c r="C15" s="78"/>
      <c r="D15" s="78"/>
      <c r="E15" s="78"/>
    </row>
    <row r="16">
      <c r="A16" s="148" t="s">
        <v>538</v>
      </c>
      <c r="B16" s="78"/>
      <c r="C16" s="78"/>
      <c r="D16" s="78"/>
      <c r="E16" s="78"/>
    </row>
    <row r="17">
      <c r="A17" s="154" t="s">
        <v>539</v>
      </c>
      <c r="B17" s="154" t="s">
        <v>540</v>
      </c>
      <c r="C17" s="154" t="s">
        <v>541</v>
      </c>
      <c r="D17" s="154" t="s">
        <v>542</v>
      </c>
      <c r="E17" s="154" t="s">
        <v>543</v>
      </c>
      <c r="F17" s="155" t="s">
        <v>544</v>
      </c>
    </row>
    <row r="18">
      <c r="A18" s="156" t="s">
        <v>545</v>
      </c>
      <c r="B18" s="157" t="s">
        <v>546</v>
      </c>
      <c r="C18" s="158" t="s">
        <v>547</v>
      </c>
      <c r="D18" s="159" t="s">
        <v>548</v>
      </c>
      <c r="E18" s="158" t="s">
        <v>549</v>
      </c>
      <c r="F18" s="7" t="s">
        <v>550</v>
      </c>
    </row>
    <row r="19">
      <c r="A19" s="160"/>
      <c r="B19" s="161" t="s">
        <v>551</v>
      </c>
      <c r="C19" s="162" t="s">
        <v>552</v>
      </c>
      <c r="D19" s="163" t="s">
        <v>548</v>
      </c>
      <c r="E19" s="160"/>
    </row>
    <row r="20">
      <c r="A20" s="156" t="s">
        <v>553</v>
      </c>
      <c r="B20" s="157" t="s">
        <v>546</v>
      </c>
      <c r="C20" s="7" t="s">
        <v>554</v>
      </c>
      <c r="D20" s="159" t="s">
        <v>548</v>
      </c>
      <c r="E20" s="158" t="s">
        <v>549</v>
      </c>
      <c r="F20" s="7" t="s">
        <v>550</v>
      </c>
    </row>
    <row r="21">
      <c r="A21" s="160"/>
      <c r="B21" s="161" t="s">
        <v>551</v>
      </c>
      <c r="C21" s="164" t="s">
        <v>555</v>
      </c>
      <c r="D21" s="163" t="s">
        <v>548</v>
      </c>
      <c r="E21" s="160"/>
    </row>
    <row r="22">
      <c r="A22" s="156" t="s">
        <v>556</v>
      </c>
      <c r="B22" s="157" t="s">
        <v>546</v>
      </c>
      <c r="C22" s="7" t="s">
        <v>557</v>
      </c>
      <c r="D22" s="159" t="s">
        <v>548</v>
      </c>
      <c r="E22" s="158" t="s">
        <v>549</v>
      </c>
    </row>
    <row r="23">
      <c r="A23" s="160"/>
      <c r="B23" s="161" t="s">
        <v>551</v>
      </c>
      <c r="C23" s="164" t="s">
        <v>558</v>
      </c>
      <c r="D23" s="163" t="s">
        <v>548</v>
      </c>
      <c r="E23" s="160"/>
    </row>
    <row r="24">
      <c r="A24" s="165" t="s">
        <v>559</v>
      </c>
      <c r="B24" s="157" t="s">
        <v>546</v>
      </c>
      <c r="C24" s="7" t="s">
        <v>557</v>
      </c>
      <c r="D24" s="159" t="s">
        <v>548</v>
      </c>
      <c r="E24" s="158" t="s">
        <v>549</v>
      </c>
    </row>
    <row r="25">
      <c r="A25" s="160"/>
      <c r="B25" s="161" t="s">
        <v>551</v>
      </c>
      <c r="C25" s="166" t="s">
        <v>560</v>
      </c>
      <c r="D25" s="163" t="s">
        <v>548</v>
      </c>
      <c r="E25" s="160"/>
    </row>
    <row r="26">
      <c r="A26" s="165" t="s">
        <v>561</v>
      </c>
      <c r="B26" s="157" t="s">
        <v>546</v>
      </c>
      <c r="C26" s="7" t="s">
        <v>562</v>
      </c>
      <c r="D26" s="159" t="s">
        <v>548</v>
      </c>
      <c r="E26" s="158" t="s">
        <v>549</v>
      </c>
    </row>
    <row r="27">
      <c r="A27" s="160"/>
      <c r="B27" s="161" t="s">
        <v>551</v>
      </c>
      <c r="C27" s="164" t="s">
        <v>563</v>
      </c>
      <c r="D27" s="163" t="s">
        <v>548</v>
      </c>
      <c r="E27" s="160"/>
    </row>
    <row r="28">
      <c r="A28" s="167" t="s">
        <v>564</v>
      </c>
      <c r="B28" s="157" t="s">
        <v>546</v>
      </c>
      <c r="C28" s="7" t="s">
        <v>565</v>
      </c>
      <c r="D28" s="159" t="s">
        <v>548</v>
      </c>
      <c r="E28" s="158" t="s">
        <v>549</v>
      </c>
    </row>
    <row r="29">
      <c r="A29" s="160"/>
      <c r="B29" s="161" t="s">
        <v>551</v>
      </c>
      <c r="C29" s="164" t="s">
        <v>566</v>
      </c>
      <c r="D29" s="163" t="s">
        <v>548</v>
      </c>
      <c r="E29" s="160"/>
    </row>
    <row r="30">
      <c r="A30" s="167" t="s">
        <v>567</v>
      </c>
      <c r="B30" s="157" t="s">
        <v>546</v>
      </c>
      <c r="C30" s="7" t="s">
        <v>568</v>
      </c>
      <c r="D30" s="159" t="s">
        <v>548</v>
      </c>
      <c r="E30" s="158" t="s">
        <v>549</v>
      </c>
    </row>
    <row r="31">
      <c r="A31" s="160"/>
      <c r="B31" s="161" t="s">
        <v>551</v>
      </c>
      <c r="C31" s="164" t="s">
        <v>569</v>
      </c>
      <c r="D31" s="163" t="s">
        <v>548</v>
      </c>
      <c r="E31" s="160"/>
    </row>
    <row r="32">
      <c r="A32" s="167" t="s">
        <v>570</v>
      </c>
      <c r="B32" s="157" t="s">
        <v>546</v>
      </c>
      <c r="C32" s="7" t="s">
        <v>571</v>
      </c>
      <c r="D32" s="159" t="s">
        <v>548</v>
      </c>
      <c r="E32" s="158" t="s">
        <v>549</v>
      </c>
    </row>
    <row r="33">
      <c r="A33" s="160"/>
      <c r="B33" s="161" t="s">
        <v>551</v>
      </c>
      <c r="C33" s="164" t="s">
        <v>572</v>
      </c>
      <c r="D33" s="163" t="s">
        <v>548</v>
      </c>
      <c r="E33" s="160"/>
    </row>
    <row r="34">
      <c r="A34" s="165" t="s">
        <v>573</v>
      </c>
      <c r="B34" s="157" t="s">
        <v>546</v>
      </c>
      <c r="C34" s="7" t="s">
        <v>571</v>
      </c>
      <c r="D34" s="159" t="s">
        <v>548</v>
      </c>
      <c r="E34" s="158" t="s">
        <v>549</v>
      </c>
    </row>
    <row r="35">
      <c r="A35" s="160"/>
      <c r="B35" s="161" t="s">
        <v>551</v>
      </c>
      <c r="C35" s="164" t="s">
        <v>572</v>
      </c>
      <c r="D35" s="163" t="s">
        <v>548</v>
      </c>
      <c r="E35" s="160"/>
    </row>
    <row r="36">
      <c r="A36" s="167" t="s">
        <v>574</v>
      </c>
      <c r="B36" s="157" t="s">
        <v>546</v>
      </c>
      <c r="C36" s="7" t="s">
        <v>575</v>
      </c>
      <c r="D36" s="159" t="s">
        <v>548</v>
      </c>
      <c r="E36" s="158" t="s">
        <v>549</v>
      </c>
    </row>
    <row r="37">
      <c r="A37" s="160"/>
      <c r="B37" s="161" t="s">
        <v>551</v>
      </c>
      <c r="C37" s="164" t="s">
        <v>572</v>
      </c>
      <c r="D37" s="163" t="s">
        <v>548</v>
      </c>
      <c r="E37" s="160"/>
    </row>
    <row r="38">
      <c r="A38" s="165" t="s">
        <v>576</v>
      </c>
      <c r="B38" s="157" t="s">
        <v>546</v>
      </c>
      <c r="C38" s="7" t="s">
        <v>577</v>
      </c>
      <c r="D38" s="159" t="s">
        <v>548</v>
      </c>
      <c r="E38" s="158" t="s">
        <v>549</v>
      </c>
    </row>
    <row r="39">
      <c r="A39" s="160"/>
      <c r="B39" s="161" t="s">
        <v>551</v>
      </c>
      <c r="C39" s="164" t="s">
        <v>577</v>
      </c>
      <c r="D39" s="163" t="s">
        <v>548</v>
      </c>
      <c r="E39" s="160"/>
    </row>
    <row r="40">
      <c r="A40" s="165" t="s">
        <v>578</v>
      </c>
      <c r="B40" s="157" t="s">
        <v>546</v>
      </c>
      <c r="C40" s="7" t="s">
        <v>577</v>
      </c>
      <c r="D40" s="159" t="s">
        <v>548</v>
      </c>
      <c r="E40" s="158" t="s">
        <v>549</v>
      </c>
    </row>
    <row r="41">
      <c r="A41" s="160"/>
      <c r="B41" s="161" t="s">
        <v>551</v>
      </c>
      <c r="C41" s="164" t="s">
        <v>577</v>
      </c>
      <c r="D41" s="163" t="s">
        <v>548</v>
      </c>
      <c r="E41" s="160"/>
    </row>
    <row r="42">
      <c r="A42" s="165" t="s">
        <v>578</v>
      </c>
      <c r="B42" s="157" t="s">
        <v>546</v>
      </c>
      <c r="C42" s="7" t="s">
        <v>579</v>
      </c>
      <c r="D42" s="159" t="s">
        <v>548</v>
      </c>
      <c r="E42" s="158" t="s">
        <v>549</v>
      </c>
    </row>
    <row r="43">
      <c r="A43" s="160"/>
      <c r="B43" s="161" t="s">
        <v>551</v>
      </c>
      <c r="C43" s="164" t="s">
        <v>579</v>
      </c>
      <c r="D43" s="163" t="s">
        <v>548</v>
      </c>
      <c r="E43" s="160"/>
    </row>
    <row r="44">
      <c r="A44" s="165" t="s">
        <v>580</v>
      </c>
      <c r="B44" s="157" t="s">
        <v>546</v>
      </c>
      <c r="C44" s="7" t="s">
        <v>579</v>
      </c>
      <c r="D44" s="159" t="s">
        <v>548</v>
      </c>
      <c r="E44" s="158" t="s">
        <v>549</v>
      </c>
    </row>
    <row r="45">
      <c r="A45" s="160"/>
      <c r="B45" s="161" t="s">
        <v>551</v>
      </c>
      <c r="C45" s="164" t="s">
        <v>579</v>
      </c>
      <c r="D45" s="163" t="s">
        <v>548</v>
      </c>
      <c r="E45" s="160"/>
    </row>
    <row r="46">
      <c r="A46" s="165" t="s">
        <v>581</v>
      </c>
      <c r="B46" s="157" t="s">
        <v>546</v>
      </c>
      <c r="C46" s="7" t="s">
        <v>582</v>
      </c>
      <c r="D46" s="159" t="s">
        <v>548</v>
      </c>
      <c r="E46" s="158" t="s">
        <v>549</v>
      </c>
    </row>
    <row r="47">
      <c r="A47" s="160"/>
      <c r="B47" s="161" t="s">
        <v>551</v>
      </c>
      <c r="C47" s="164" t="s">
        <v>583</v>
      </c>
      <c r="D47" s="163" t="s">
        <v>548</v>
      </c>
      <c r="E47" s="160"/>
    </row>
    <row r="48">
      <c r="A48" s="165" t="s">
        <v>584</v>
      </c>
      <c r="B48" s="157" t="s">
        <v>546</v>
      </c>
      <c r="C48" s="7" t="s">
        <v>582</v>
      </c>
      <c r="D48" s="159" t="s">
        <v>548</v>
      </c>
      <c r="E48" s="158" t="s">
        <v>549</v>
      </c>
    </row>
    <row r="49">
      <c r="A49" s="160"/>
      <c r="B49" s="161" t="s">
        <v>551</v>
      </c>
      <c r="C49" s="164" t="s">
        <v>583</v>
      </c>
      <c r="D49" s="163" t="s">
        <v>548</v>
      </c>
      <c r="E49" s="160"/>
    </row>
    <row r="50">
      <c r="A50" s="165" t="s">
        <v>585</v>
      </c>
      <c r="B50" s="157" t="s">
        <v>546</v>
      </c>
      <c r="C50" s="7" t="s">
        <v>586</v>
      </c>
      <c r="D50" s="159" t="s">
        <v>548</v>
      </c>
      <c r="E50" s="158" t="s">
        <v>549</v>
      </c>
    </row>
    <row r="51">
      <c r="A51" s="160"/>
      <c r="B51" s="161" t="s">
        <v>551</v>
      </c>
      <c r="C51" s="164" t="s">
        <v>587</v>
      </c>
      <c r="D51" s="163" t="s">
        <v>548</v>
      </c>
      <c r="E51" s="160"/>
    </row>
  </sheetData>
  <mergeCells count="49">
    <mergeCell ref="A48:A49"/>
    <mergeCell ref="A50:A51"/>
    <mergeCell ref="A34:A35"/>
    <mergeCell ref="A36:A37"/>
    <mergeCell ref="A38:A39"/>
    <mergeCell ref="A40:A41"/>
    <mergeCell ref="A42:A43"/>
    <mergeCell ref="A44:A45"/>
    <mergeCell ref="A46:A47"/>
    <mergeCell ref="M2:M3"/>
    <mergeCell ref="N2:N3"/>
    <mergeCell ref="A2:A4"/>
    <mergeCell ref="B2:E2"/>
    <mergeCell ref="H2:H3"/>
    <mergeCell ref="I2:I3"/>
    <mergeCell ref="J2:J3"/>
    <mergeCell ref="K2:K3"/>
    <mergeCell ref="L2:L3"/>
    <mergeCell ref="B3:E3"/>
    <mergeCell ref="B4:E4"/>
    <mergeCell ref="A5:A7"/>
    <mergeCell ref="A9:A14"/>
    <mergeCell ref="A18:A19"/>
    <mergeCell ref="F18:G19"/>
    <mergeCell ref="F20:G21"/>
    <mergeCell ref="E18:E19"/>
    <mergeCell ref="E20:E21"/>
    <mergeCell ref="E22:E23"/>
    <mergeCell ref="E24:E25"/>
    <mergeCell ref="E26:E27"/>
    <mergeCell ref="E28:E29"/>
    <mergeCell ref="E30:E31"/>
    <mergeCell ref="A20:A21"/>
    <mergeCell ref="A22:A23"/>
    <mergeCell ref="A24:A25"/>
    <mergeCell ref="A26:A27"/>
    <mergeCell ref="A28:A29"/>
    <mergeCell ref="A30:A31"/>
    <mergeCell ref="A32:A33"/>
    <mergeCell ref="E46:E47"/>
    <mergeCell ref="E48:E49"/>
    <mergeCell ref="E50:E51"/>
    <mergeCell ref="E32:E33"/>
    <mergeCell ref="E34:E35"/>
    <mergeCell ref="E36:E37"/>
    <mergeCell ref="E38:E39"/>
    <mergeCell ref="E40:E41"/>
    <mergeCell ref="E42:E43"/>
    <mergeCell ref="E44:E45"/>
  </mergeCells>
  <dataValidations>
    <dataValidation type="custom" allowBlank="1" showDropDown="1" sqref="H2 H4:H7">
      <formula1>OR(NOT(ISERROR(DATEVALUE(H2))), AND(ISNUMBER(H2), LEFT(CELL("format", H2))="D"))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8" t="s">
        <v>588</v>
      </c>
      <c r="B1" s="169"/>
      <c r="C1" s="168">
        <f>WEEKNUM(C2,2)</f>
        <v>18</v>
      </c>
      <c r="D1" s="170" t="s">
        <v>589</v>
      </c>
    </row>
    <row r="2">
      <c r="A2" s="171" t="s">
        <v>590</v>
      </c>
      <c r="B2" s="172" t="s">
        <v>591</v>
      </c>
      <c r="C2" s="173">
        <v>45040.0</v>
      </c>
      <c r="D2" s="174" t="str">
        <f>$JW$5/$JV$5-1</f>
        <v>#DIV/0!</v>
      </c>
    </row>
    <row r="3">
      <c r="D3" s="175" t="str">
        <f>$JW$6/$JV$6-1</f>
        <v>#DIV/0!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6"/>
      <c r="B1" s="177"/>
      <c r="C1" s="178">
        <f>MONTH(C2)</f>
        <v>1</v>
      </c>
      <c r="D1" s="179" t="s">
        <v>592</v>
      </c>
    </row>
    <row r="2">
      <c r="A2" s="171" t="s">
        <v>590</v>
      </c>
      <c r="B2" s="172" t="s">
        <v>591</v>
      </c>
      <c r="C2" s="180">
        <v>43101.0</v>
      </c>
      <c r="D2" s="181"/>
    </row>
    <row r="3">
      <c r="D3" s="182" t="str">
        <f>IFERROR(C3/B3-1,"")</f>
        <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5.38"/>
    <col customWidth="1" min="5" max="5" width="21.75"/>
  </cols>
  <sheetData>
    <row r="1">
      <c r="A1" s="148" t="s">
        <v>593</v>
      </c>
    </row>
    <row r="2">
      <c r="A2" s="148" t="s">
        <v>594</v>
      </c>
      <c r="B2" s="183"/>
      <c r="C2" s="183"/>
      <c r="D2" s="183"/>
      <c r="E2" s="183"/>
      <c r="F2" s="183"/>
      <c r="G2" s="183"/>
      <c r="H2" s="183"/>
      <c r="I2" s="183"/>
      <c r="J2" s="183"/>
      <c r="K2" s="183"/>
      <c r="L2" s="183"/>
      <c r="M2" s="183"/>
      <c r="N2" s="183"/>
      <c r="O2" s="183"/>
      <c r="P2" s="183"/>
      <c r="Q2" s="183"/>
      <c r="R2" s="183"/>
      <c r="S2" s="183"/>
      <c r="T2" s="183"/>
      <c r="U2" s="183"/>
      <c r="V2" s="183"/>
      <c r="W2" s="183"/>
      <c r="X2" s="183"/>
      <c r="Y2" s="183"/>
      <c r="Z2" s="183"/>
    </row>
    <row r="3">
      <c r="A3" s="184"/>
      <c r="B3" s="7"/>
      <c r="C3" s="7"/>
      <c r="D3" s="184"/>
      <c r="E3" s="7"/>
      <c r="F3" s="7"/>
    </row>
    <row r="4">
      <c r="A4" s="184" t="s">
        <v>595</v>
      </c>
      <c r="B4" s="7" t="s">
        <v>596</v>
      </c>
      <c r="C4" s="7" t="s">
        <v>597</v>
      </c>
      <c r="D4" s="184" t="s">
        <v>598</v>
      </c>
      <c r="E4" s="7" t="s">
        <v>599</v>
      </c>
      <c r="F4" s="7" t="s">
        <v>600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601</v>
      </c>
    </row>
  </sheetData>
  <drawing r:id="rId1"/>
</worksheet>
</file>